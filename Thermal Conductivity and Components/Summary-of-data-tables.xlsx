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nathaniel/Desktop/Data_and_Codes/Stu Paper/"/>
    </mc:Choice>
  </mc:AlternateContent>
  <xr:revisionPtr revIDLastSave="0" documentId="13_ncr:1_{AE4481ED-A008-9D41-AEF5-F07D701ABDB8}" xr6:coauthVersionLast="47" xr6:coauthVersionMax="47" xr10:uidLastSave="{00000000-0000-0000-0000-000000000000}"/>
  <bookViews>
    <workbookView xWindow="-38260" yWindow="7860" windowWidth="25540" windowHeight="20800" xr2:uid="{6CF4511D-F523-5844-811A-3D3747DC078B}"/>
  </bookViews>
  <sheets>
    <sheet name="Sheet1" sheetId="1" r:id="rId1"/>
    <sheet name="Sheet3" sheetId="3" r:id="rId2"/>
    <sheet name="Sheet2" sheetId="2" r:id="rId3"/>
  </sheets>
  <definedNames>
    <definedName name="_xlnm._FilterDatabase" localSheetId="1" hidden="1">Sheet3!$C$3:$K$99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7" i="1" l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J84" i="1"/>
  <c r="J85" i="1" s="1"/>
  <c r="J86" i="1" s="1"/>
  <c r="S84" i="1"/>
  <c r="S85" i="1" s="1"/>
  <c r="S86" i="1" s="1"/>
  <c r="AC6" i="2"/>
  <c r="AC4" i="2"/>
</calcChain>
</file>

<file path=xl/sharedStrings.xml><?xml version="1.0" encoding="utf-8"?>
<sst xmlns="http://schemas.openxmlformats.org/spreadsheetml/2006/main" count="596" uniqueCount="113">
  <si>
    <t>T(K)</t>
  </si>
  <si>
    <t>RTA</t>
  </si>
  <si>
    <t>LBTE</t>
  </si>
  <si>
    <t>xx</t>
  </si>
  <si>
    <t>yy</t>
  </si>
  <si>
    <t>zz</t>
  </si>
  <si>
    <t>PtS2, casimir 1 um, no isotope effect</t>
  </si>
  <si>
    <t>PtS2, casimir 1000 um, no isotope effect</t>
  </si>
  <si>
    <t>PtS2, casimir 1000000 um, no isotope effect</t>
  </si>
  <si>
    <t>PtSe2, casimir 1 um, no isotope effect</t>
  </si>
  <si>
    <t>PtS2, casimir 1 um, with isotope effect</t>
  </si>
  <si>
    <t>PtS2, casimir 1000 um, with isotope effect</t>
  </si>
  <si>
    <t>PtS2, casimir 1000000 um, with isotope effect</t>
  </si>
  <si>
    <t>PtSe2, casimir 1 um, with isotope effect</t>
  </si>
  <si>
    <t>PtSe2, casimir 1000 um, with isotope effect</t>
  </si>
  <si>
    <t>PtSe2, casimir 1000000 um, with isotope effect</t>
  </si>
  <si>
    <t>PtSe2, casimir 1000 um, no isotope effect</t>
  </si>
  <si>
    <t>PtSe2, casimir 1000000 um, no isotope effect</t>
  </si>
  <si>
    <t>PtTe2, casimir 1 um, no isotope effect</t>
  </si>
  <si>
    <t>PtTe2, casimir 1000 um, no isotope effect</t>
  </si>
  <si>
    <t>PtTe2, casimir 1000000 um, no isotope effect</t>
  </si>
  <si>
    <t>PtTe2, casimir 1 um, with isotope effect</t>
  </si>
  <si>
    <t>PtTe2, casimir 1000 um, with isotope effect</t>
  </si>
  <si>
    <t>PtTe2, casimir 1000000 um, with isotope effect</t>
  </si>
  <si>
    <t>uniaxial a PtS2</t>
  </si>
  <si>
    <t>biaxial PtS2</t>
  </si>
  <si>
    <t>uniaxial a PtSe2</t>
  </si>
  <si>
    <t>biaxial PtSe2</t>
  </si>
  <si>
    <t>uniaxial a PtTe2</t>
  </si>
  <si>
    <t>biaxial PtTe2</t>
  </si>
  <si>
    <t>Temperature (K)</t>
  </si>
  <si>
    <t>mean</t>
  </si>
  <si>
    <t>Quasi-Harmonic CTE</t>
  </si>
  <si>
    <t>Quasi-Harmonic macroscopic Gruneisen</t>
  </si>
  <si>
    <t>Switch to a coarser Temperature Sampling (every 50 K)</t>
  </si>
  <si>
    <t>----------------------------------------------------------------------------</t>
  </si>
  <si>
    <t>-----------</t>
  </si>
  <si>
    <t>Thermal</t>
  </si>
  <si>
    <t>conductivity</t>
  </si>
  <si>
    <t>(W/m-k)</t>
  </si>
  <si>
    <t>with</t>
  </si>
  <si>
    <t>tetrahedron</t>
  </si>
  <si>
    <t>method</t>
  </si>
  <si>
    <t>Diagonalize</t>
  </si>
  <si>
    <t>by</t>
  </si>
  <si>
    <t>scipy.linalg.lapack.dsyev</t>
  </si>
  <si>
    <t>Pinv</t>
  </si>
  <si>
    <t>ignoring</t>
  </si>
  <si>
    <t>1116/15876</t>
  </si>
  <si>
    <t>dims</t>
  </si>
  <si>
    <t>under</t>
  </si>
  <si>
    <t>abs(eig)&lt;1.0e-08</t>
  </si>
  <si>
    <t>(np.dot)</t>
  </si>
  <si>
    <t>#</t>
  </si>
  <si>
    <t>yz</t>
  </si>
  <si>
    <t>xz</t>
  </si>
  <si>
    <t>xy</t>
  </si>
  <si>
    <t>(RTA)</t>
  </si>
  <si>
    <t>[0.420s]</t>
  </si>
  <si>
    <t>[0.422s]</t>
  </si>
  <si>
    <t>[0.419s]</t>
  </si>
  <si>
    <t>d=-8.5e-14</t>
  </si>
  <si>
    <t>sum=1.3e+02</t>
  </si>
  <si>
    <t>d=-1.1e-13</t>
  </si>
  <si>
    <t>sum=1.5e+02</t>
  </si>
  <si>
    <t>sum=1.7e+02</t>
  </si>
  <si>
    <t>sum=1.9e+02</t>
  </si>
  <si>
    <t>d=-1.7e-13</t>
  </si>
  <si>
    <t>sum=2.3e+02</t>
  </si>
  <si>
    <t>sum=2.8e+02</t>
  </si>
  <si>
    <t>sum=3.2e+02</t>
  </si>
  <si>
    <t>d=-2.3e-13</t>
  </si>
  <si>
    <t>sum=4.2e+02</t>
  </si>
  <si>
    <t>[0.418s]</t>
  </si>
  <si>
    <t>[0.417s]</t>
  </si>
  <si>
    <t>[0.409s]</t>
  </si>
  <si>
    <t>[0.416s]</t>
  </si>
  <si>
    <t>[0.427s]</t>
  </si>
  <si>
    <t>[0.415s]</t>
  </si>
  <si>
    <t>sum=2.1e+02</t>
  </si>
  <si>
    <t>sum=2.5e+02</t>
  </si>
  <si>
    <t>sum=3.0e+02</t>
  </si>
  <si>
    <t>sum=3.4e+02</t>
  </si>
  <si>
    <t>[0.411s]</t>
  </si>
  <si>
    <t>[0.338s]</t>
  </si>
  <si>
    <t>sum=2.6e+02</t>
  </si>
  <si>
    <t>sum=3.6e+02</t>
  </si>
  <si>
    <t>[0.387s]</t>
  </si>
  <si>
    <t>sum=4.0e+02</t>
  </si>
  <si>
    <t>[0.337s]</t>
  </si>
  <si>
    <t>Data Appearing in Table for 50 K</t>
  </si>
  <si>
    <t>Data Appearing in Table for 300 K</t>
  </si>
  <si>
    <t>sum=3.8e+02</t>
  </si>
  <si>
    <t>[0.410s]</t>
  </si>
  <si>
    <t>[9571.313s]</t>
  </si>
  <si>
    <t>[9584.658s]</t>
  </si>
  <si>
    <t>[9548.750s]</t>
  </si>
  <si>
    <t>[9354.471s]</t>
  </si>
  <si>
    <t>[9784.741s]</t>
  </si>
  <si>
    <t>[9808.298s]</t>
  </si>
  <si>
    <t>[9470.267s]</t>
  </si>
  <si>
    <t>[9210.898s]</t>
  </si>
  <si>
    <t>[9501.241s]</t>
  </si>
  <si>
    <t>[9510.456s]</t>
  </si>
  <si>
    <t>[9755.729s]</t>
  </si>
  <si>
    <t>[9281.827s]</t>
  </si>
  <si>
    <t>[9462.877s]</t>
  </si>
  <si>
    <t>[9879.694s]</t>
  </si>
  <si>
    <t>[9224.078s]</t>
  </si>
  <si>
    <t>[9439.898s]</t>
  </si>
  <si>
    <t>uniaxial ⟂a PtS2</t>
  </si>
  <si>
    <t>uniaxial ⟂a PtSe2</t>
  </si>
  <si>
    <t>uniaxial ⟂a PtTe2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</si>
</sst>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3" borderId="4" xfId="0" applyFill="1" applyBorder="1"/>
    <xf numFmtId="0" fontId="0" fillId="3" borderId="2" xfId="0" applyFill="1" applyBorder="1"/>
    <xf numFmtId="0" fontId="0" fillId="3" borderId="1" xfId="0" applyFill="1" applyBorder="1"/>
    <xf numFmtId="0" fontId="0" fillId="2" borderId="2" xfId="0" applyFill="1" applyBorder="1"/>
    <xf numFmtId="0" fontId="0" fillId="3" borderId="3" xfId="0" applyFill="1" applyBorder="1"/>
    <xf numFmtId="164" fontId="0" fillId="0" borderId="0" xfId="0" applyNumberFormat="1"/>
    <xf numFmtId="0" fontId="0" fillId="0" borderId="11" xfId="0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0" fillId="3" borderId="10" xfId="0" applyFill="1" applyBorder="1"/>
    <xf numFmtId="0" fontId="0" fillId="3" borderId="8" xfId="0" applyFill="1" applyBorder="1"/>
    <xf numFmtId="0" fontId="0" fillId="0" borderId="8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2" borderId="16" xfId="0" applyFill="1" applyBorder="1"/>
    <xf numFmtId="0" fontId="0" fillId="0" borderId="18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8F21-C796-E149-8710-2E286DD6D139}">
  <dimension ref="A1:EE105"/>
  <sheetViews>
    <sheetView tabSelected="1" zoomScale="125" zoomScaleNormal="227" workbookViewId="0">
      <selection activeCell="CC11" sqref="CC11"/>
    </sheetView>
  </sheetViews>
  <sheetFormatPr baseColWidth="10" defaultRowHeight="16" x14ac:dyDescent="0.2"/>
  <cols>
    <col min="1" max="1" width="2.6640625" customWidth="1"/>
    <col min="3" max="4" width="17.83203125" bestFit="1" customWidth="1"/>
    <col min="5" max="5" width="17.33203125" customWidth="1"/>
    <col min="6" max="7" width="17.83203125" bestFit="1" customWidth="1"/>
    <col min="8" max="8" width="16" customWidth="1"/>
    <col min="9" max="10" width="17.83203125" bestFit="1" customWidth="1"/>
    <col min="11" max="11" width="16" customWidth="1"/>
    <col min="12" max="13" width="16.83203125" bestFit="1" customWidth="1"/>
    <col min="14" max="14" width="17.6640625" customWidth="1"/>
    <col min="15" max="16" width="16.83203125" bestFit="1" customWidth="1"/>
    <col min="17" max="17" width="16.83203125" customWidth="1"/>
    <col min="18" max="18" width="17" customWidth="1"/>
    <col min="19" max="19" width="16.83203125" customWidth="1"/>
    <col min="20" max="20" width="17.5" customWidth="1"/>
    <col min="21" max="22" width="2.6640625" customWidth="1"/>
    <col min="24" max="59" width="10.1640625" customWidth="1"/>
    <col min="60" max="60" width="2.6640625" customWidth="1"/>
    <col min="61" max="96" width="10.1640625" customWidth="1"/>
    <col min="97" max="97" width="2.6640625" customWidth="1"/>
    <col min="98" max="133" width="10.1640625" customWidth="1"/>
    <col min="134" max="134" width="2.6640625" customWidth="1"/>
    <col min="135" max="135" width="45.5" customWidth="1"/>
    <col min="136" max="144" width="10.1640625" customWidth="1"/>
    <col min="145" max="145" width="2.6640625" customWidth="1"/>
    <col min="146" max="229" width="10.1640625" customWidth="1"/>
    <col min="230" max="230" width="2.6640625" customWidth="1"/>
  </cols>
  <sheetData>
    <row r="1" spans="1:135" x14ac:dyDescent="0.2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135" x14ac:dyDescent="0.2">
      <c r="A2" s="1"/>
      <c r="B2" s="1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5" x14ac:dyDescent="0.2">
      <c r="A3" s="1"/>
      <c r="B3" s="1"/>
      <c r="C3" s="30" t="s">
        <v>32</v>
      </c>
      <c r="D3" s="27"/>
      <c r="E3" s="27"/>
      <c r="F3" s="27"/>
      <c r="G3" s="27"/>
      <c r="H3" s="27"/>
      <c r="I3" s="27"/>
      <c r="J3" s="27"/>
      <c r="K3" s="31"/>
      <c r="L3" s="30" t="s">
        <v>33</v>
      </c>
      <c r="M3" s="27"/>
      <c r="N3" s="27"/>
      <c r="O3" s="27"/>
      <c r="P3" s="27"/>
      <c r="Q3" s="27"/>
      <c r="R3" s="27"/>
      <c r="S3" s="27"/>
      <c r="T3" s="31"/>
      <c r="U3" s="1"/>
      <c r="V3" s="1"/>
      <c r="X3" s="28" t="s">
        <v>6</v>
      </c>
      <c r="Y3" s="28"/>
      <c r="Z3" s="28"/>
      <c r="AA3" s="28"/>
      <c r="AB3" s="28"/>
      <c r="AC3" s="28"/>
      <c r="AD3" s="28" t="s">
        <v>7</v>
      </c>
      <c r="AE3" s="28"/>
      <c r="AF3" s="28"/>
      <c r="AG3" s="28"/>
      <c r="AH3" s="28"/>
      <c r="AI3" s="28"/>
      <c r="AJ3" s="28" t="s">
        <v>8</v>
      </c>
      <c r="AK3" s="28"/>
      <c r="AL3" s="28"/>
      <c r="AM3" s="28"/>
      <c r="AN3" s="28"/>
      <c r="AO3" s="28"/>
      <c r="AP3" s="28" t="s">
        <v>10</v>
      </c>
      <c r="AQ3" s="28"/>
      <c r="AR3" s="28"/>
      <c r="AS3" s="28"/>
      <c r="AT3" s="28"/>
      <c r="AU3" s="28"/>
      <c r="AV3" s="28" t="s">
        <v>11</v>
      </c>
      <c r="AW3" s="28"/>
      <c r="AX3" s="28"/>
      <c r="AY3" s="28"/>
      <c r="AZ3" s="28"/>
      <c r="BA3" s="28"/>
      <c r="BB3" s="28" t="s">
        <v>12</v>
      </c>
      <c r="BC3" s="28"/>
      <c r="BD3" s="28"/>
      <c r="BE3" s="28"/>
      <c r="BF3" s="28"/>
      <c r="BG3" s="28"/>
      <c r="BH3" s="1"/>
      <c r="BI3" s="28" t="s">
        <v>9</v>
      </c>
      <c r="BJ3" s="28"/>
      <c r="BK3" s="28"/>
      <c r="BL3" s="28"/>
      <c r="BM3" s="28"/>
      <c r="BN3" s="28"/>
      <c r="BO3" s="28" t="s">
        <v>16</v>
      </c>
      <c r="BP3" s="28"/>
      <c r="BQ3" s="28"/>
      <c r="BR3" s="28"/>
      <c r="BS3" s="28"/>
      <c r="BT3" s="28"/>
      <c r="BU3" s="28" t="s">
        <v>17</v>
      </c>
      <c r="BV3" s="28"/>
      <c r="BW3" s="28"/>
      <c r="BX3" s="28"/>
      <c r="BY3" s="28"/>
      <c r="BZ3" s="28"/>
      <c r="CA3" s="28" t="s">
        <v>13</v>
      </c>
      <c r="CB3" s="28"/>
      <c r="CC3" s="28"/>
      <c r="CD3" s="28"/>
      <c r="CE3" s="28"/>
      <c r="CF3" s="28"/>
      <c r="CG3" s="28" t="s">
        <v>14</v>
      </c>
      <c r="CH3" s="28"/>
      <c r="CI3" s="28"/>
      <c r="CJ3" s="28"/>
      <c r="CK3" s="28"/>
      <c r="CL3" s="28"/>
      <c r="CM3" s="28" t="s">
        <v>15</v>
      </c>
      <c r="CN3" s="28"/>
      <c r="CO3" s="28"/>
      <c r="CP3" s="28"/>
      <c r="CQ3" s="28"/>
      <c r="CR3" s="28"/>
      <c r="CS3" s="1"/>
      <c r="CT3" s="28" t="s">
        <v>18</v>
      </c>
      <c r="CU3" s="28"/>
      <c r="CV3" s="28"/>
      <c r="CW3" s="28"/>
      <c r="CX3" s="28"/>
      <c r="CY3" s="28"/>
      <c r="CZ3" s="28" t="s">
        <v>19</v>
      </c>
      <c r="DA3" s="28"/>
      <c r="DB3" s="28"/>
      <c r="DC3" s="28"/>
      <c r="DD3" s="28"/>
      <c r="DE3" s="28"/>
      <c r="DF3" s="28" t="s">
        <v>20</v>
      </c>
      <c r="DG3" s="28"/>
      <c r="DH3" s="28"/>
      <c r="DI3" s="28"/>
      <c r="DJ3" s="28"/>
      <c r="DK3" s="28"/>
      <c r="DL3" s="28" t="s">
        <v>21</v>
      </c>
      <c r="DM3" s="28"/>
      <c r="DN3" s="28"/>
      <c r="DO3" s="28"/>
      <c r="DP3" s="28"/>
      <c r="DQ3" s="28"/>
      <c r="DR3" s="28" t="s">
        <v>22</v>
      </c>
      <c r="DS3" s="28"/>
      <c r="DT3" s="28"/>
      <c r="DU3" s="28"/>
      <c r="DV3" s="28"/>
      <c r="DW3" s="28"/>
      <c r="DX3" s="28" t="s">
        <v>23</v>
      </c>
      <c r="DY3" s="28"/>
      <c r="DZ3" s="28"/>
      <c r="EA3" s="28"/>
      <c r="EB3" s="28"/>
      <c r="EC3" s="28"/>
      <c r="ED3" s="1"/>
    </row>
    <row r="4" spans="1:135" x14ac:dyDescent="0.2">
      <c r="A4" s="1"/>
      <c r="B4" s="5" t="s">
        <v>30</v>
      </c>
      <c r="C4" s="5" t="s">
        <v>24</v>
      </c>
      <c r="D4" s="5" t="s">
        <v>110</v>
      </c>
      <c r="E4" s="5" t="s">
        <v>25</v>
      </c>
      <c r="F4" s="5" t="s">
        <v>26</v>
      </c>
      <c r="G4" s="5" t="s">
        <v>111</v>
      </c>
      <c r="H4" s="5" t="s">
        <v>27</v>
      </c>
      <c r="I4" s="5" t="s">
        <v>28</v>
      </c>
      <c r="J4" s="5" t="s">
        <v>112</v>
      </c>
      <c r="K4" s="5" t="s">
        <v>29</v>
      </c>
      <c r="L4" s="5" t="s">
        <v>24</v>
      </c>
      <c r="M4" s="5" t="s">
        <v>110</v>
      </c>
      <c r="N4" s="5" t="s">
        <v>25</v>
      </c>
      <c r="O4" s="5" t="s">
        <v>26</v>
      </c>
      <c r="P4" s="5" t="s">
        <v>111</v>
      </c>
      <c r="Q4" s="5" t="s">
        <v>27</v>
      </c>
      <c r="R4" s="5" t="s">
        <v>28</v>
      </c>
      <c r="S4" s="5" t="s">
        <v>112</v>
      </c>
      <c r="T4" s="5" t="s">
        <v>29</v>
      </c>
      <c r="U4" s="1"/>
      <c r="V4" s="1"/>
      <c r="X4" s="28" t="s">
        <v>2</v>
      </c>
      <c r="Y4" s="28"/>
      <c r="Z4" s="28"/>
      <c r="AA4" s="28" t="s">
        <v>1</v>
      </c>
      <c r="AB4" s="28"/>
      <c r="AC4" s="28"/>
      <c r="AD4" s="28" t="s">
        <v>2</v>
      </c>
      <c r="AE4" s="28"/>
      <c r="AF4" s="28"/>
      <c r="AG4" s="28" t="s">
        <v>1</v>
      </c>
      <c r="AH4" s="28"/>
      <c r="AI4" s="28"/>
      <c r="AJ4" s="28" t="s">
        <v>2</v>
      </c>
      <c r="AK4" s="28"/>
      <c r="AL4" s="28"/>
      <c r="AM4" s="28" t="s">
        <v>1</v>
      </c>
      <c r="AN4" s="28"/>
      <c r="AO4" s="28"/>
      <c r="AP4" s="28" t="s">
        <v>2</v>
      </c>
      <c r="AQ4" s="28"/>
      <c r="AR4" s="28"/>
      <c r="AS4" s="28" t="s">
        <v>1</v>
      </c>
      <c r="AT4" s="28"/>
      <c r="AU4" s="28"/>
      <c r="AV4" s="28" t="s">
        <v>2</v>
      </c>
      <c r="AW4" s="28"/>
      <c r="AX4" s="28"/>
      <c r="AY4" s="28" t="s">
        <v>1</v>
      </c>
      <c r="AZ4" s="28"/>
      <c r="BA4" s="28"/>
      <c r="BB4" s="28" t="s">
        <v>2</v>
      </c>
      <c r="BC4" s="28"/>
      <c r="BD4" s="28"/>
      <c r="BE4" s="28" t="s">
        <v>1</v>
      </c>
      <c r="BF4" s="28"/>
      <c r="BG4" s="28"/>
      <c r="BH4" s="1"/>
      <c r="BI4" s="28" t="s">
        <v>2</v>
      </c>
      <c r="BJ4" s="28"/>
      <c r="BK4" s="28"/>
      <c r="BL4" s="28" t="s">
        <v>1</v>
      </c>
      <c r="BM4" s="28"/>
      <c r="BN4" s="28"/>
      <c r="BO4" s="28" t="s">
        <v>2</v>
      </c>
      <c r="BP4" s="28"/>
      <c r="BQ4" s="28"/>
      <c r="BR4" s="28" t="s">
        <v>1</v>
      </c>
      <c r="BS4" s="28"/>
      <c r="BT4" s="28"/>
      <c r="BU4" s="28" t="s">
        <v>2</v>
      </c>
      <c r="BV4" s="28"/>
      <c r="BW4" s="28"/>
      <c r="BX4" s="28" t="s">
        <v>1</v>
      </c>
      <c r="BY4" s="28"/>
      <c r="BZ4" s="28"/>
      <c r="CA4" s="28" t="s">
        <v>2</v>
      </c>
      <c r="CB4" s="28"/>
      <c r="CC4" s="28"/>
      <c r="CD4" s="28" t="s">
        <v>1</v>
      </c>
      <c r="CE4" s="28"/>
      <c r="CF4" s="28"/>
      <c r="CG4" s="28" t="s">
        <v>2</v>
      </c>
      <c r="CH4" s="28"/>
      <c r="CI4" s="28"/>
      <c r="CJ4" s="28" t="s">
        <v>1</v>
      </c>
      <c r="CK4" s="28"/>
      <c r="CL4" s="28"/>
      <c r="CM4" s="28" t="s">
        <v>2</v>
      </c>
      <c r="CN4" s="28"/>
      <c r="CO4" s="28"/>
      <c r="CP4" s="28" t="s">
        <v>1</v>
      </c>
      <c r="CQ4" s="28"/>
      <c r="CR4" s="28"/>
      <c r="CS4" s="1"/>
      <c r="CT4" s="28" t="s">
        <v>2</v>
      </c>
      <c r="CU4" s="28"/>
      <c r="CV4" s="28"/>
      <c r="CW4" s="28" t="s">
        <v>1</v>
      </c>
      <c r="CX4" s="28"/>
      <c r="CY4" s="28"/>
      <c r="CZ4" s="28" t="s">
        <v>2</v>
      </c>
      <c r="DA4" s="28"/>
      <c r="DB4" s="28"/>
      <c r="DC4" s="28" t="s">
        <v>1</v>
      </c>
      <c r="DD4" s="28"/>
      <c r="DE4" s="28"/>
      <c r="DF4" s="28" t="s">
        <v>2</v>
      </c>
      <c r="DG4" s="28"/>
      <c r="DH4" s="28"/>
      <c r="DI4" s="28" t="s">
        <v>1</v>
      </c>
      <c r="DJ4" s="28"/>
      <c r="DK4" s="28"/>
      <c r="DL4" s="28" t="s">
        <v>2</v>
      </c>
      <c r="DM4" s="28"/>
      <c r="DN4" s="28"/>
      <c r="DO4" s="28" t="s">
        <v>1</v>
      </c>
      <c r="DP4" s="28"/>
      <c r="DQ4" s="28"/>
      <c r="DR4" s="28" t="s">
        <v>2</v>
      </c>
      <c r="DS4" s="28"/>
      <c r="DT4" s="28"/>
      <c r="DU4" s="28" t="s">
        <v>1</v>
      </c>
      <c r="DV4" s="28"/>
      <c r="DW4" s="28"/>
      <c r="DX4" s="28" t="s">
        <v>2</v>
      </c>
      <c r="DY4" s="28"/>
      <c r="DZ4" s="28"/>
      <c r="EA4" s="28" t="s">
        <v>1</v>
      </c>
      <c r="EB4" s="28"/>
      <c r="EC4" s="28"/>
      <c r="ED4" s="1"/>
    </row>
    <row r="5" spans="1:135" x14ac:dyDescent="0.2">
      <c r="A5" s="1"/>
      <c r="B5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1"/>
      <c r="V5" s="1"/>
      <c r="W5" s="6" t="s">
        <v>0</v>
      </c>
      <c r="X5" s="5" t="s">
        <v>3</v>
      </c>
      <c r="Y5" s="5" t="s">
        <v>4</v>
      </c>
      <c r="Z5" s="5" t="s">
        <v>5</v>
      </c>
      <c r="AA5" s="5" t="s">
        <v>3</v>
      </c>
      <c r="AB5" s="5" t="s">
        <v>4</v>
      </c>
      <c r="AC5" s="5" t="s">
        <v>5</v>
      </c>
      <c r="AD5" s="5" t="s">
        <v>3</v>
      </c>
      <c r="AE5" s="5" t="s">
        <v>4</v>
      </c>
      <c r="AF5" s="5" t="s">
        <v>5</v>
      </c>
      <c r="AG5" s="2" t="s">
        <v>3</v>
      </c>
      <c r="AH5" s="2" t="s">
        <v>4</v>
      </c>
      <c r="AI5" s="2" t="s">
        <v>5</v>
      </c>
      <c r="AJ5" s="5" t="s">
        <v>3</v>
      </c>
      <c r="AK5" s="5" t="s">
        <v>4</v>
      </c>
      <c r="AL5" s="5" t="s">
        <v>5</v>
      </c>
      <c r="AM5" s="5" t="s">
        <v>3</v>
      </c>
      <c r="AN5" s="5" t="s">
        <v>4</v>
      </c>
      <c r="AO5" s="5" t="s">
        <v>5</v>
      </c>
      <c r="AP5" s="5" t="s">
        <v>3</v>
      </c>
      <c r="AQ5" s="5" t="s">
        <v>4</v>
      </c>
      <c r="AR5" s="5" t="s">
        <v>5</v>
      </c>
      <c r="AS5" s="5" t="s">
        <v>3</v>
      </c>
      <c r="AT5" s="5" t="s">
        <v>4</v>
      </c>
      <c r="AU5" s="5" t="s">
        <v>5</v>
      </c>
      <c r="AV5" s="5" t="s">
        <v>3</v>
      </c>
      <c r="AW5" s="5" t="s">
        <v>4</v>
      </c>
      <c r="AX5" s="5" t="s">
        <v>5</v>
      </c>
      <c r="AY5" s="2" t="s">
        <v>3</v>
      </c>
      <c r="AZ5" s="2" t="s">
        <v>4</v>
      </c>
      <c r="BA5" s="2" t="s">
        <v>5</v>
      </c>
      <c r="BB5" s="5" t="s">
        <v>3</v>
      </c>
      <c r="BC5" s="5" t="s">
        <v>4</v>
      </c>
      <c r="BD5" s="5" t="s">
        <v>5</v>
      </c>
      <c r="BE5" s="5" t="s">
        <v>3</v>
      </c>
      <c r="BF5" s="5" t="s">
        <v>4</v>
      </c>
      <c r="BG5" s="5" t="s">
        <v>5</v>
      </c>
      <c r="BH5" s="1"/>
      <c r="BI5" s="5" t="s">
        <v>3</v>
      </c>
      <c r="BJ5" s="5" t="s">
        <v>4</v>
      </c>
      <c r="BK5" s="5" t="s">
        <v>5</v>
      </c>
      <c r="BL5" s="5" t="s">
        <v>3</v>
      </c>
      <c r="BM5" s="5" t="s">
        <v>4</v>
      </c>
      <c r="BN5" s="5" t="s">
        <v>5</v>
      </c>
      <c r="BO5" s="5" t="s">
        <v>3</v>
      </c>
      <c r="BP5" s="5" t="s">
        <v>4</v>
      </c>
      <c r="BQ5" s="5" t="s">
        <v>5</v>
      </c>
      <c r="BR5" s="5" t="s">
        <v>3</v>
      </c>
      <c r="BS5" s="5" t="s">
        <v>4</v>
      </c>
      <c r="BT5" s="5" t="s">
        <v>5</v>
      </c>
      <c r="BU5" s="5" t="s">
        <v>3</v>
      </c>
      <c r="BV5" s="5" t="s">
        <v>4</v>
      </c>
      <c r="BW5" s="5" t="s">
        <v>5</v>
      </c>
      <c r="BX5" s="5" t="s">
        <v>3</v>
      </c>
      <c r="BY5" s="5" t="s">
        <v>4</v>
      </c>
      <c r="BZ5" s="5" t="s">
        <v>5</v>
      </c>
      <c r="CA5" s="5" t="s">
        <v>3</v>
      </c>
      <c r="CB5" s="5" t="s">
        <v>4</v>
      </c>
      <c r="CC5" s="5" t="s">
        <v>5</v>
      </c>
      <c r="CD5" s="5" t="s">
        <v>3</v>
      </c>
      <c r="CE5" s="5" t="s">
        <v>4</v>
      </c>
      <c r="CF5" s="5" t="s">
        <v>5</v>
      </c>
      <c r="CG5" s="5" t="s">
        <v>3</v>
      </c>
      <c r="CH5" s="5" t="s">
        <v>4</v>
      </c>
      <c r="CI5" s="5" t="s">
        <v>5</v>
      </c>
      <c r="CJ5" s="5" t="s">
        <v>3</v>
      </c>
      <c r="CK5" s="5" t="s">
        <v>4</v>
      </c>
      <c r="CL5" t="s">
        <v>5</v>
      </c>
      <c r="CM5" s="5" t="s">
        <v>3</v>
      </c>
      <c r="CN5" s="5" t="s">
        <v>4</v>
      </c>
      <c r="CO5" s="5" t="s">
        <v>5</v>
      </c>
      <c r="CP5" s="5" t="s">
        <v>3</v>
      </c>
      <c r="CQ5" s="5" t="s">
        <v>4</v>
      </c>
      <c r="CR5" s="5" t="s">
        <v>5</v>
      </c>
      <c r="CS5" s="1"/>
      <c r="CT5" s="5" t="s">
        <v>3</v>
      </c>
      <c r="CU5" s="5" t="s">
        <v>4</v>
      </c>
      <c r="CV5" s="5" t="s">
        <v>5</v>
      </c>
      <c r="CW5" s="5" t="s">
        <v>3</v>
      </c>
      <c r="CX5" s="5" t="s">
        <v>4</v>
      </c>
      <c r="CY5" s="5" t="s">
        <v>5</v>
      </c>
      <c r="CZ5" s="5" t="s">
        <v>3</v>
      </c>
      <c r="DA5" s="5" t="s">
        <v>4</v>
      </c>
      <c r="DB5" s="5" t="s">
        <v>5</v>
      </c>
      <c r="DC5" s="5" t="s">
        <v>3</v>
      </c>
      <c r="DD5" s="5" t="s">
        <v>4</v>
      </c>
      <c r="DE5" s="5" t="s">
        <v>5</v>
      </c>
      <c r="DF5" s="5" t="s">
        <v>3</v>
      </c>
      <c r="DG5" s="5" t="s">
        <v>4</v>
      </c>
      <c r="DH5" s="5" t="s">
        <v>5</v>
      </c>
      <c r="DI5" s="5" t="s">
        <v>3</v>
      </c>
      <c r="DJ5" s="5" t="s">
        <v>4</v>
      </c>
      <c r="DK5" s="5" t="s">
        <v>5</v>
      </c>
      <c r="DL5" s="5" t="s">
        <v>3</v>
      </c>
      <c r="DM5" s="5" t="s">
        <v>4</v>
      </c>
      <c r="DN5" s="5" t="s">
        <v>5</v>
      </c>
      <c r="DO5" s="5" t="s">
        <v>3</v>
      </c>
      <c r="DP5" s="5" t="s">
        <v>4</v>
      </c>
      <c r="DQ5" s="5" t="s">
        <v>5</v>
      </c>
      <c r="DR5" s="5" t="s">
        <v>3</v>
      </c>
      <c r="DS5" s="5" t="s">
        <v>4</v>
      </c>
      <c r="DT5" s="5" t="s">
        <v>5</v>
      </c>
      <c r="DU5" s="5" t="s">
        <v>3</v>
      </c>
      <c r="DV5" s="5" t="s">
        <v>4</v>
      </c>
      <c r="DW5" s="5" t="s">
        <v>5</v>
      </c>
      <c r="DX5" s="5" t="s">
        <v>3</v>
      </c>
      <c r="DY5" s="5" t="s">
        <v>4</v>
      </c>
      <c r="DZ5" s="5" t="s">
        <v>5</v>
      </c>
      <c r="EA5" s="5" t="s">
        <v>3</v>
      </c>
      <c r="EB5" s="5" t="s">
        <v>4</v>
      </c>
      <c r="EC5" s="5" t="s">
        <v>5</v>
      </c>
      <c r="ED5" s="1"/>
    </row>
    <row r="6" spans="1:135" x14ac:dyDescent="0.2">
      <c r="A6" s="1"/>
      <c r="B6">
        <v>10</v>
      </c>
      <c r="C6" s="3">
        <v>1.1508423199999999E-7</v>
      </c>
      <c r="D6" s="3">
        <v>-1.73909052E-7</v>
      </c>
      <c r="E6" s="3">
        <v>-6.5912754600000004E-7</v>
      </c>
      <c r="F6" s="3">
        <v>-5.5386550200000001E-7</v>
      </c>
      <c r="G6" s="3">
        <v>-1.6677150500000001E-7</v>
      </c>
      <c r="H6" s="3">
        <v>-1.72705828E-7</v>
      </c>
      <c r="I6" s="3">
        <v>-1.7788240499999999E-7</v>
      </c>
      <c r="J6" s="3">
        <v>4.67660674E-7</v>
      </c>
      <c r="K6" s="3">
        <v>-2.3765200999999999E-8</v>
      </c>
      <c r="L6" s="3">
        <v>0.67237392020955</v>
      </c>
      <c r="M6" s="3">
        <v>-0.902279393882924</v>
      </c>
      <c r="N6" s="3">
        <v>-2.1081745421849201</v>
      </c>
      <c r="O6" s="3">
        <v>-1.95706237765119</v>
      </c>
      <c r="P6" s="3">
        <v>-0.52181275968415297</v>
      </c>
      <c r="Q6" s="3">
        <v>-0.33266732530288801</v>
      </c>
      <c r="R6" s="3">
        <v>-0.41050356254515402</v>
      </c>
      <c r="S6" s="3">
        <v>0.95491846576962303</v>
      </c>
      <c r="T6" s="3">
        <v>-3.0762301455274001E-2</v>
      </c>
      <c r="U6" s="1"/>
      <c r="V6" s="1"/>
      <c r="W6" s="15">
        <v>1</v>
      </c>
      <c r="X6">
        <v>0.17499999999999999</v>
      </c>
      <c r="Y6">
        <v>0.17499999999999999</v>
      </c>
      <c r="Z6" s="15">
        <v>0</v>
      </c>
      <c r="AA6" s="16">
        <v>0.17100000000000001</v>
      </c>
      <c r="AB6" s="16">
        <v>0.17100000000000001</v>
      </c>
      <c r="AC6" s="15">
        <v>0</v>
      </c>
      <c r="AD6">
        <v>188.042</v>
      </c>
      <c r="AE6">
        <v>188.042</v>
      </c>
      <c r="AF6" s="16">
        <v>0</v>
      </c>
      <c r="AG6" s="6">
        <v>7.9379999999999997</v>
      </c>
      <c r="AH6" s="16">
        <v>7.9379999999999997</v>
      </c>
      <c r="AI6" s="15">
        <v>0</v>
      </c>
      <c r="AJ6">
        <v>9.5359999999999996</v>
      </c>
      <c r="AK6">
        <v>9.5359999999999996</v>
      </c>
      <c r="AL6" s="15">
        <v>0</v>
      </c>
      <c r="AM6" s="16">
        <v>8.3699999999999992</v>
      </c>
      <c r="AN6" s="16">
        <v>8.3699999999999992</v>
      </c>
      <c r="AO6" s="15">
        <v>0</v>
      </c>
      <c r="AP6">
        <v>0.17499999999999999</v>
      </c>
      <c r="AQ6">
        <v>0.17499999999999999</v>
      </c>
      <c r="AR6" s="15">
        <v>0</v>
      </c>
      <c r="AS6" s="16">
        <v>0.17100000000000001</v>
      </c>
      <c r="AT6" s="16">
        <v>0.17100000000000001</v>
      </c>
      <c r="AU6" s="15">
        <v>0</v>
      </c>
      <c r="AV6">
        <v>171.221</v>
      </c>
      <c r="AW6">
        <v>171.221</v>
      </c>
      <c r="AX6" s="16">
        <v>0</v>
      </c>
      <c r="AY6" s="6">
        <v>7.8979999999999997</v>
      </c>
      <c r="AZ6" s="16">
        <v>7.8979999999999997</v>
      </c>
      <c r="BA6" s="15">
        <v>0</v>
      </c>
      <c r="BB6">
        <v>9.5120000000000005</v>
      </c>
      <c r="BC6">
        <v>9.5120000000000005</v>
      </c>
      <c r="BD6" s="15">
        <v>0</v>
      </c>
      <c r="BE6" s="16">
        <v>8.327</v>
      </c>
      <c r="BF6" s="16">
        <v>8.327</v>
      </c>
      <c r="BG6">
        <v>0</v>
      </c>
      <c r="BH6" s="1"/>
      <c r="BI6">
        <v>0.18099999999999999</v>
      </c>
      <c r="BJ6">
        <v>0.18099999999999999</v>
      </c>
      <c r="BK6">
        <v>0</v>
      </c>
      <c r="BL6" s="6">
        <v>0.17899999999999999</v>
      </c>
      <c r="BM6" s="16">
        <v>0.17899999999999999</v>
      </c>
      <c r="BN6" s="8">
        <v>0</v>
      </c>
      <c r="BO6">
        <v>183.727</v>
      </c>
      <c r="BP6">
        <v>183.727</v>
      </c>
      <c r="BQ6">
        <v>0</v>
      </c>
      <c r="BR6" s="6">
        <v>16.713000000000001</v>
      </c>
      <c r="BS6" s="16">
        <v>16.713000000000001</v>
      </c>
      <c r="BT6" s="15">
        <v>0</v>
      </c>
      <c r="BU6">
        <v>27.687999999999999</v>
      </c>
      <c r="BV6">
        <v>27.687999999999999</v>
      </c>
      <c r="BW6">
        <v>0</v>
      </c>
      <c r="BX6" s="6">
        <v>19.504000000000001</v>
      </c>
      <c r="BY6" s="16">
        <v>19.504000000000001</v>
      </c>
      <c r="BZ6" s="8">
        <v>0</v>
      </c>
      <c r="CA6">
        <v>0.18099999999999999</v>
      </c>
      <c r="CB6">
        <v>0.18099999999999999</v>
      </c>
      <c r="CC6">
        <v>0</v>
      </c>
      <c r="CD6" s="6">
        <v>0.17899999999999999</v>
      </c>
      <c r="CE6" s="16">
        <v>0.17899999999999999</v>
      </c>
      <c r="CF6" s="8">
        <v>0</v>
      </c>
      <c r="CG6">
        <v>131.08199999999999</v>
      </c>
      <c r="CH6">
        <v>131.08199999999999</v>
      </c>
      <c r="CI6">
        <v>0</v>
      </c>
      <c r="CJ6" s="6">
        <v>16.425000000000001</v>
      </c>
      <c r="CK6" s="16">
        <v>16.425000000000001</v>
      </c>
      <c r="CL6" s="15">
        <v>0</v>
      </c>
      <c r="CM6">
        <v>32.084000000000003</v>
      </c>
      <c r="CN6">
        <v>32.084000000000003</v>
      </c>
      <c r="CO6">
        <v>0</v>
      </c>
      <c r="CP6" s="6">
        <v>19.172999999999998</v>
      </c>
      <c r="CQ6" s="16">
        <v>19.172999999999998</v>
      </c>
      <c r="CR6" s="15">
        <v>0</v>
      </c>
      <c r="CS6" s="1"/>
      <c r="CT6">
        <v>0.13900000000000001</v>
      </c>
      <c r="CU6">
        <v>0.13900000000000001</v>
      </c>
      <c r="CV6">
        <v>0</v>
      </c>
      <c r="CW6" s="6">
        <v>0.13900000000000001</v>
      </c>
      <c r="CX6" s="16">
        <v>0.13900000000000001</v>
      </c>
      <c r="CY6" s="8">
        <v>0</v>
      </c>
      <c r="CZ6">
        <v>155.45599999999999</v>
      </c>
      <c r="DA6">
        <v>155.45599999999999</v>
      </c>
      <c r="DB6">
        <v>0</v>
      </c>
      <c r="DC6" s="6">
        <v>48.418999999999997</v>
      </c>
      <c r="DD6" s="16">
        <v>48.418999999999997</v>
      </c>
      <c r="DE6" s="15">
        <v>0</v>
      </c>
      <c r="DF6">
        <v>181.47800000000001</v>
      </c>
      <c r="DG6">
        <v>181.47800000000001</v>
      </c>
      <c r="DH6">
        <v>0</v>
      </c>
      <c r="DI6" s="6">
        <v>214.46799999999999</v>
      </c>
      <c r="DJ6" s="16">
        <v>214.46799999999999</v>
      </c>
      <c r="DK6" s="15">
        <v>0</v>
      </c>
      <c r="DL6">
        <v>0.13900000000000001</v>
      </c>
      <c r="DM6">
        <v>0.13900000000000001</v>
      </c>
      <c r="DN6">
        <v>0</v>
      </c>
      <c r="DO6" s="6">
        <v>0.13900000000000001</v>
      </c>
      <c r="DP6" s="16">
        <v>0.13900000000000001</v>
      </c>
      <c r="DQ6" s="8">
        <v>0</v>
      </c>
      <c r="DR6">
        <v>100.182</v>
      </c>
      <c r="DS6">
        <v>100.182</v>
      </c>
      <c r="DT6">
        <v>0</v>
      </c>
      <c r="DU6" s="6">
        <v>46.726999999999997</v>
      </c>
      <c r="DV6" s="16">
        <v>46.726999999999997</v>
      </c>
      <c r="DW6" s="15">
        <v>0</v>
      </c>
      <c r="DX6">
        <v>512.59699999999998</v>
      </c>
      <c r="DY6">
        <v>512.59699999999998</v>
      </c>
      <c r="DZ6">
        <v>0</v>
      </c>
      <c r="EA6" s="6">
        <v>202.40100000000001</v>
      </c>
      <c r="EB6" s="16">
        <v>202.40100000000001</v>
      </c>
      <c r="EC6" s="15">
        <v>0</v>
      </c>
      <c r="ED6" s="1"/>
      <c r="EE6" s="17"/>
    </row>
    <row r="7" spans="1:135" x14ac:dyDescent="0.2">
      <c r="A7" s="1"/>
      <c r="B7">
        <v>20</v>
      </c>
      <c r="C7" s="3">
        <v>4.9924025700000005E-7</v>
      </c>
      <c r="D7" s="3">
        <v>7.3825651500000001E-7</v>
      </c>
      <c r="E7" s="3">
        <v>-7.7238818700000004E-7</v>
      </c>
      <c r="F7" s="3">
        <v>-9.9268188700000009E-7</v>
      </c>
      <c r="G7" s="3">
        <v>7.5568165599999997E-7</v>
      </c>
      <c r="H7" s="3">
        <v>-3.0874500299999999E-7</v>
      </c>
      <c r="I7" s="3">
        <v>-5.4037603000000002E-7</v>
      </c>
      <c r="J7" s="3">
        <v>9.2002499E-7</v>
      </c>
      <c r="K7" s="3">
        <v>-7.3908663499999995E-7</v>
      </c>
      <c r="L7" s="3">
        <v>0.98119941463596805</v>
      </c>
      <c r="M7" s="3">
        <v>1.29158277435236</v>
      </c>
      <c r="N7" s="3">
        <v>-0.848298564677751</v>
      </c>
      <c r="O7" s="3">
        <v>-1.11701134422696</v>
      </c>
      <c r="P7" s="3">
        <v>0.756464949327328</v>
      </c>
      <c r="Q7" s="3">
        <v>-0.19414243154835401</v>
      </c>
      <c r="R7" s="3">
        <v>-0.38877593545609401</v>
      </c>
      <c r="S7" s="3">
        <v>0.58917654412606202</v>
      </c>
      <c r="T7" s="3">
        <v>-0.30153209980630902</v>
      </c>
      <c r="U7" s="1"/>
      <c r="V7" s="1"/>
      <c r="W7" s="8">
        <v>10</v>
      </c>
      <c r="X7">
        <v>9.3230000000000004</v>
      </c>
      <c r="Y7">
        <v>9.3230000000000004</v>
      </c>
      <c r="Z7" s="8">
        <v>0</v>
      </c>
      <c r="AA7">
        <v>8.0820000000000007</v>
      </c>
      <c r="AB7">
        <v>8.0820000000000007</v>
      </c>
      <c r="AC7" s="8">
        <v>0</v>
      </c>
      <c r="AD7">
        <v>15009.721</v>
      </c>
      <c r="AE7">
        <v>15009.721</v>
      </c>
      <c r="AF7" s="8">
        <v>0</v>
      </c>
      <c r="AG7">
        <v>71.881</v>
      </c>
      <c r="AH7">
        <v>71.881</v>
      </c>
      <c r="AI7" s="8">
        <v>0</v>
      </c>
      <c r="AJ7">
        <v>-10155.246999999999</v>
      </c>
      <c r="AK7">
        <v>-10155.246999999999</v>
      </c>
      <c r="AL7" s="8">
        <v>0</v>
      </c>
      <c r="AM7">
        <v>72.626000000000005</v>
      </c>
      <c r="AN7">
        <v>72.626000000000005</v>
      </c>
      <c r="AO7" s="8">
        <v>0</v>
      </c>
      <c r="AP7">
        <v>9.2579999999999991</v>
      </c>
      <c r="AQ7">
        <v>9.2579999999999991</v>
      </c>
      <c r="AR7" s="8">
        <v>0</v>
      </c>
      <c r="AS7">
        <v>8.0329999999999995</v>
      </c>
      <c r="AT7">
        <v>8.0329999999999995</v>
      </c>
      <c r="AU7" s="8">
        <v>0</v>
      </c>
      <c r="AV7">
        <v>1960.107</v>
      </c>
      <c r="AW7">
        <v>1960.107</v>
      </c>
      <c r="AX7" s="8">
        <v>0</v>
      </c>
      <c r="AY7">
        <v>68.64</v>
      </c>
      <c r="AZ7">
        <v>68.64</v>
      </c>
      <c r="BA7" s="8">
        <v>0</v>
      </c>
      <c r="BB7">
        <v>3040.7579999999998</v>
      </c>
      <c r="BC7">
        <v>3040.7579999999998</v>
      </c>
      <c r="BD7" s="8">
        <v>0</v>
      </c>
      <c r="BE7">
        <v>69.325999999999993</v>
      </c>
      <c r="BF7">
        <v>69.325999999999993</v>
      </c>
      <c r="BG7">
        <v>0</v>
      </c>
      <c r="BH7" s="1"/>
      <c r="BI7">
        <v>10.814</v>
      </c>
      <c r="BJ7">
        <v>10.814</v>
      </c>
      <c r="BK7" s="8">
        <v>0</v>
      </c>
      <c r="BL7">
        <v>9.4030000000000005</v>
      </c>
      <c r="BM7">
        <v>9.4030000000000005</v>
      </c>
      <c r="BN7" s="8">
        <v>0</v>
      </c>
      <c r="BO7">
        <v>24503.213</v>
      </c>
      <c r="BP7">
        <v>24503.213</v>
      </c>
      <c r="BQ7">
        <v>0</v>
      </c>
      <c r="BR7" s="7">
        <v>96.475999999999999</v>
      </c>
      <c r="BS7">
        <v>96.475999999999999</v>
      </c>
      <c r="BT7" s="8">
        <v>0</v>
      </c>
      <c r="BU7">
        <v>-11230.361999999999</v>
      </c>
      <c r="BV7">
        <v>-11230.361999999999</v>
      </c>
      <c r="BW7">
        <v>0</v>
      </c>
      <c r="BX7" s="7">
        <v>97.825999999999993</v>
      </c>
      <c r="BY7">
        <v>97.825999999999993</v>
      </c>
      <c r="BZ7" s="8">
        <v>0</v>
      </c>
      <c r="CA7">
        <v>10.492000000000001</v>
      </c>
      <c r="CB7">
        <v>10.492000000000001</v>
      </c>
      <c r="CC7">
        <v>0</v>
      </c>
      <c r="CD7" s="7">
        <v>9.1530000000000005</v>
      </c>
      <c r="CE7">
        <v>9.1530000000000005</v>
      </c>
      <c r="CF7" s="8">
        <v>0</v>
      </c>
      <c r="CG7">
        <v>743.63400000000001</v>
      </c>
      <c r="CH7">
        <v>743.63400000000001</v>
      </c>
      <c r="CI7">
        <v>0</v>
      </c>
      <c r="CJ7" s="7">
        <v>81.039000000000001</v>
      </c>
      <c r="CK7">
        <v>81.039000000000001</v>
      </c>
      <c r="CL7" s="8">
        <v>0</v>
      </c>
      <c r="CM7">
        <v>838.41899999999998</v>
      </c>
      <c r="CN7">
        <v>838.41899999999998</v>
      </c>
      <c r="CO7">
        <v>0</v>
      </c>
      <c r="CP7" s="7">
        <v>82.063999999999993</v>
      </c>
      <c r="CQ7">
        <v>82.063999999999993</v>
      </c>
      <c r="CR7" s="8">
        <v>0</v>
      </c>
      <c r="CS7" s="1"/>
      <c r="CT7">
        <v>11.538</v>
      </c>
      <c r="CU7">
        <v>11.538</v>
      </c>
      <c r="CV7">
        <v>0</v>
      </c>
      <c r="CW7" s="7">
        <v>10.343</v>
      </c>
      <c r="CX7">
        <v>10.343</v>
      </c>
      <c r="CY7" s="8">
        <v>0</v>
      </c>
      <c r="CZ7">
        <v>9973.0939999999991</v>
      </c>
      <c r="DA7">
        <v>9973.0939999999991</v>
      </c>
      <c r="DB7">
        <v>0</v>
      </c>
      <c r="DC7" s="7">
        <v>245.095</v>
      </c>
      <c r="DD7">
        <v>245.095</v>
      </c>
      <c r="DE7" s="8">
        <v>0</v>
      </c>
      <c r="DF7">
        <v>298.971</v>
      </c>
      <c r="DG7">
        <v>298.971</v>
      </c>
      <c r="DH7">
        <v>0</v>
      </c>
      <c r="DI7" s="7">
        <v>292.97899999999998</v>
      </c>
      <c r="DJ7">
        <v>292.97899999999998</v>
      </c>
      <c r="DK7" s="8">
        <v>0</v>
      </c>
      <c r="DL7">
        <v>10.909000000000001</v>
      </c>
      <c r="DM7">
        <v>10.909000000000001</v>
      </c>
      <c r="DN7">
        <v>0</v>
      </c>
      <c r="DO7" s="7">
        <v>9.8239999999999998</v>
      </c>
      <c r="DP7">
        <v>9.8239999999999998</v>
      </c>
      <c r="DQ7" s="8">
        <v>0</v>
      </c>
      <c r="DR7">
        <v>539.09699999999998</v>
      </c>
      <c r="DS7">
        <v>539.09699999999998</v>
      </c>
      <c r="DT7">
        <v>0</v>
      </c>
      <c r="DU7" s="7">
        <v>191.821</v>
      </c>
      <c r="DV7">
        <v>191.821</v>
      </c>
      <c r="DW7" s="8">
        <v>0</v>
      </c>
      <c r="DX7">
        <v>614.63499999999999</v>
      </c>
      <c r="DY7">
        <v>614.63499999999999</v>
      </c>
      <c r="DZ7">
        <v>0</v>
      </c>
      <c r="EA7" s="7">
        <v>236.92</v>
      </c>
      <c r="EB7">
        <v>236.92</v>
      </c>
      <c r="EC7" s="8">
        <v>0</v>
      </c>
      <c r="ED7" s="1"/>
      <c r="EE7" s="17"/>
    </row>
    <row r="8" spans="1:135" x14ac:dyDescent="0.2">
      <c r="A8" s="1"/>
      <c r="B8">
        <v>30</v>
      </c>
      <c r="C8" s="3">
        <v>1.16318573E-7</v>
      </c>
      <c r="D8" s="3">
        <v>5.8335897000000003E-7</v>
      </c>
      <c r="E8" s="3">
        <v>-6.7033992999999996E-7</v>
      </c>
      <c r="F8" s="3">
        <v>4.2753890100000001E-7</v>
      </c>
      <c r="G8" s="3">
        <v>9.761448130000001E-7</v>
      </c>
      <c r="H8" s="3">
        <v>-1.29851937E-7</v>
      </c>
      <c r="I8" s="3">
        <v>-3.9512028699999999E-7</v>
      </c>
      <c r="J8" s="3">
        <v>1.288477504E-6</v>
      </c>
      <c r="K8" s="3">
        <v>-1.7898306799999999E-7</v>
      </c>
      <c r="L8" s="3">
        <v>0.117956600914586</v>
      </c>
      <c r="M8" s="3">
        <v>0.52707420028433105</v>
      </c>
      <c r="N8" s="3">
        <v>-0.38205194825479999</v>
      </c>
      <c r="O8" s="3">
        <v>0.25333588054214401</v>
      </c>
      <c r="P8" s="3">
        <v>0.51513973616571795</v>
      </c>
      <c r="Q8" s="3">
        <v>-4.3247086421277003E-2</v>
      </c>
      <c r="R8" s="3">
        <v>-0.149182146288768</v>
      </c>
      <c r="S8" s="3">
        <v>0.433733875044229</v>
      </c>
      <c r="T8" s="3">
        <v>-3.8388124874927002E-2</v>
      </c>
      <c r="U8" s="1"/>
      <c r="V8" s="1"/>
      <c r="W8" s="8">
        <v>20</v>
      </c>
      <c r="X8">
        <v>30.952000000000002</v>
      </c>
      <c r="Y8">
        <v>30.952000000000002</v>
      </c>
      <c r="Z8" s="8">
        <v>0</v>
      </c>
      <c r="AA8">
        <v>23.954000000000001</v>
      </c>
      <c r="AB8">
        <v>23.954000000000001</v>
      </c>
      <c r="AC8" s="8">
        <v>0</v>
      </c>
      <c r="AD8">
        <v>22810.267</v>
      </c>
      <c r="AE8">
        <v>22810.267</v>
      </c>
      <c r="AF8" s="8">
        <v>0</v>
      </c>
      <c r="AG8">
        <v>136.22300000000001</v>
      </c>
      <c r="AH8">
        <v>136.22300000000001</v>
      </c>
      <c r="AI8" s="8">
        <v>0</v>
      </c>
      <c r="AJ8">
        <v>-187585.56599999999</v>
      </c>
      <c r="AK8">
        <v>-187585.56599999999</v>
      </c>
      <c r="AL8" s="8">
        <v>0</v>
      </c>
      <c r="AM8">
        <v>137.083</v>
      </c>
      <c r="AN8">
        <v>137.083</v>
      </c>
      <c r="AO8" s="8">
        <v>0</v>
      </c>
      <c r="AP8">
        <v>29.765999999999998</v>
      </c>
      <c r="AQ8">
        <v>29.765999999999998</v>
      </c>
      <c r="AR8" s="8">
        <v>0</v>
      </c>
      <c r="AS8">
        <v>23.155000000000001</v>
      </c>
      <c r="AT8">
        <v>23.155000000000001</v>
      </c>
      <c r="AU8" s="8">
        <v>0</v>
      </c>
      <c r="AV8">
        <v>1985.3510000000001</v>
      </c>
      <c r="AW8">
        <v>1985.3510000000001</v>
      </c>
      <c r="AX8" s="8">
        <v>0</v>
      </c>
      <c r="AY8">
        <v>112.77200000000001</v>
      </c>
      <c r="AZ8">
        <v>112.77200000000001</v>
      </c>
      <c r="BA8" s="8">
        <v>0</v>
      </c>
      <c r="BB8">
        <v>2252.13</v>
      </c>
      <c r="BC8">
        <v>2252.13</v>
      </c>
      <c r="BD8" s="8">
        <v>0</v>
      </c>
      <c r="BE8">
        <v>113.33199999999999</v>
      </c>
      <c r="BF8">
        <v>113.33199999999999</v>
      </c>
      <c r="BG8">
        <v>0</v>
      </c>
      <c r="BH8" s="1"/>
      <c r="BI8">
        <v>34.889000000000003</v>
      </c>
      <c r="BJ8">
        <v>34.889000000000003</v>
      </c>
      <c r="BK8">
        <v>0</v>
      </c>
      <c r="BL8" s="7">
        <v>27.375</v>
      </c>
      <c r="BM8">
        <v>27.375</v>
      </c>
      <c r="BN8" s="8">
        <v>0</v>
      </c>
      <c r="BO8">
        <v>8183.9530000000004</v>
      </c>
      <c r="BP8">
        <v>8183.9530000000004</v>
      </c>
      <c r="BQ8">
        <v>0</v>
      </c>
      <c r="BR8" s="7">
        <v>172.73</v>
      </c>
      <c r="BS8">
        <v>172.73</v>
      </c>
      <c r="BT8" s="8">
        <v>0</v>
      </c>
      <c r="BU8">
        <v>12347.352999999999</v>
      </c>
      <c r="BV8">
        <v>12347.352999999999</v>
      </c>
      <c r="BW8">
        <v>0</v>
      </c>
      <c r="BX8" s="7">
        <v>174.06100000000001</v>
      </c>
      <c r="BY8">
        <v>174.06100000000001</v>
      </c>
      <c r="BZ8" s="8">
        <v>0</v>
      </c>
      <c r="CA8">
        <v>30.832000000000001</v>
      </c>
      <c r="CB8">
        <v>30.832000000000001</v>
      </c>
      <c r="CC8">
        <v>0</v>
      </c>
      <c r="CD8" s="7">
        <v>24.611999999999998</v>
      </c>
      <c r="CE8">
        <v>24.611999999999998</v>
      </c>
      <c r="CF8" s="8">
        <v>0</v>
      </c>
      <c r="CG8">
        <v>725.84299999999996</v>
      </c>
      <c r="CH8">
        <v>725.84299999999996</v>
      </c>
      <c r="CI8">
        <v>0</v>
      </c>
      <c r="CJ8" s="7">
        <v>109.3</v>
      </c>
      <c r="CK8">
        <v>109.3</v>
      </c>
      <c r="CL8" s="8">
        <v>0</v>
      </c>
      <c r="CM8">
        <v>756.654</v>
      </c>
      <c r="CN8">
        <v>756.654</v>
      </c>
      <c r="CO8">
        <v>0</v>
      </c>
      <c r="CP8" s="7">
        <v>109.851</v>
      </c>
      <c r="CQ8">
        <v>109.851</v>
      </c>
      <c r="CR8" s="8">
        <v>0</v>
      </c>
      <c r="CS8" s="1"/>
      <c r="CT8">
        <v>33.729999999999997</v>
      </c>
      <c r="CU8">
        <v>33.729999999999997</v>
      </c>
      <c r="CV8">
        <v>0</v>
      </c>
      <c r="CW8" s="7">
        <v>27.349</v>
      </c>
      <c r="CX8">
        <v>27.349</v>
      </c>
      <c r="CY8" s="8">
        <v>0</v>
      </c>
      <c r="CZ8">
        <v>1545.2339999999999</v>
      </c>
      <c r="DA8">
        <v>1545.2339999999999</v>
      </c>
      <c r="DB8">
        <v>0</v>
      </c>
      <c r="DC8" s="7">
        <v>243.512</v>
      </c>
      <c r="DD8">
        <v>243.512</v>
      </c>
      <c r="DE8" s="8">
        <v>0</v>
      </c>
      <c r="DF8">
        <v>1652.3119999999999</v>
      </c>
      <c r="DG8">
        <v>1652.3119999999999</v>
      </c>
      <c r="DH8">
        <v>0</v>
      </c>
      <c r="DI8" s="7">
        <v>258.923</v>
      </c>
      <c r="DJ8">
        <v>258.923</v>
      </c>
      <c r="DK8" s="8">
        <v>0</v>
      </c>
      <c r="DL8">
        <v>28.800999999999998</v>
      </c>
      <c r="DM8">
        <v>28.800999999999998</v>
      </c>
      <c r="DN8">
        <v>0</v>
      </c>
      <c r="DO8" s="7">
        <v>23.933</v>
      </c>
      <c r="DP8">
        <v>23.933</v>
      </c>
      <c r="DQ8" s="8">
        <v>0</v>
      </c>
      <c r="DR8">
        <v>451.59699999999998</v>
      </c>
      <c r="DS8">
        <v>451.59699999999998</v>
      </c>
      <c r="DT8">
        <v>0</v>
      </c>
      <c r="DU8" s="7">
        <v>170.63399999999999</v>
      </c>
      <c r="DV8">
        <v>170.63399999999999</v>
      </c>
      <c r="DW8" s="8">
        <v>0</v>
      </c>
      <c r="DX8">
        <v>474.83600000000001</v>
      </c>
      <c r="DY8">
        <v>474.83600000000001</v>
      </c>
      <c r="DZ8">
        <v>0</v>
      </c>
      <c r="EA8" s="7">
        <v>185.054</v>
      </c>
      <c r="EB8">
        <v>185.054</v>
      </c>
      <c r="EC8" s="8">
        <v>0</v>
      </c>
      <c r="ED8" s="1"/>
      <c r="EE8" s="17"/>
    </row>
    <row r="9" spans="1:135" x14ac:dyDescent="0.2">
      <c r="A9" s="1"/>
      <c r="B9">
        <v>40</v>
      </c>
      <c r="C9" s="3">
        <v>-5.8897761299999999E-7</v>
      </c>
      <c r="D9" s="3">
        <v>2.01948655E-7</v>
      </c>
      <c r="E9" s="3">
        <v>-4.43967366E-7</v>
      </c>
      <c r="F9" s="3">
        <v>1.18117093E-6</v>
      </c>
      <c r="G9" s="3">
        <v>3.3431360699999999E-7</v>
      </c>
      <c r="H9" s="3">
        <v>3.26548942E-7</v>
      </c>
      <c r="I9" s="3">
        <v>5.3490717100000002E-7</v>
      </c>
      <c r="J9" s="3">
        <v>1.566807381E-6</v>
      </c>
      <c r="K9" s="3">
        <v>1.3064787829999999E-6</v>
      </c>
      <c r="L9" s="3">
        <v>-0.39162263789572599</v>
      </c>
      <c r="M9" s="3">
        <v>0.119670286797638</v>
      </c>
      <c r="N9" s="3">
        <v>-0.16635241902642101</v>
      </c>
      <c r="O9" s="3">
        <v>0.44454002899970402</v>
      </c>
      <c r="P9" s="3">
        <v>0.112119446556161</v>
      </c>
      <c r="Q9" s="3">
        <v>6.9233533852258E-2</v>
      </c>
      <c r="R9" s="3">
        <v>0.12963435400345599</v>
      </c>
      <c r="S9" s="3">
        <v>0.33885728761468897</v>
      </c>
      <c r="T9" s="3">
        <v>0.18003715650863999</v>
      </c>
      <c r="U9" s="1"/>
      <c r="V9" s="1"/>
      <c r="W9" s="8">
        <v>30</v>
      </c>
      <c r="X9">
        <v>57.162999999999997</v>
      </c>
      <c r="Y9">
        <v>57.162999999999997</v>
      </c>
      <c r="Z9" s="8">
        <v>0</v>
      </c>
      <c r="AA9">
        <v>40.322000000000003</v>
      </c>
      <c r="AB9">
        <v>40.322000000000003</v>
      </c>
      <c r="AC9" s="8">
        <v>0</v>
      </c>
      <c r="AD9">
        <v>4779.4260000000004</v>
      </c>
      <c r="AE9">
        <v>4779.4260000000004</v>
      </c>
      <c r="AF9" s="8">
        <v>0</v>
      </c>
      <c r="AG9">
        <v>171.75700000000001</v>
      </c>
      <c r="AH9">
        <v>171.75700000000001</v>
      </c>
      <c r="AI9" s="8">
        <v>0</v>
      </c>
      <c r="AJ9">
        <v>5503.4380000000001</v>
      </c>
      <c r="AK9">
        <v>5503.4380000000001</v>
      </c>
      <c r="AL9" s="8">
        <v>0</v>
      </c>
      <c r="AM9">
        <v>172.49700000000001</v>
      </c>
      <c r="AN9">
        <v>172.49700000000001</v>
      </c>
      <c r="AO9" s="8">
        <v>0</v>
      </c>
      <c r="AP9">
        <v>53.076999999999998</v>
      </c>
      <c r="AQ9">
        <v>53.076999999999998</v>
      </c>
      <c r="AR9" s="8">
        <v>0</v>
      </c>
      <c r="AS9">
        <v>37.932000000000002</v>
      </c>
      <c r="AT9">
        <v>37.932000000000002</v>
      </c>
      <c r="AU9" s="8">
        <v>0</v>
      </c>
      <c r="AV9">
        <v>1523.799</v>
      </c>
      <c r="AW9">
        <v>1523.799</v>
      </c>
      <c r="AX9" s="8">
        <v>0</v>
      </c>
      <c r="AY9">
        <v>135.23500000000001</v>
      </c>
      <c r="AZ9">
        <v>135.23500000000001</v>
      </c>
      <c r="BA9" s="8">
        <v>0</v>
      </c>
      <c r="BB9">
        <v>1605.56</v>
      </c>
      <c r="BC9">
        <v>1605.56</v>
      </c>
      <c r="BD9" s="8">
        <v>0</v>
      </c>
      <c r="BE9">
        <v>135.66999999999999</v>
      </c>
      <c r="BF9">
        <v>135.66999999999999</v>
      </c>
      <c r="BG9">
        <v>0</v>
      </c>
      <c r="BH9" s="1"/>
      <c r="BI9">
        <v>58.168999999999997</v>
      </c>
      <c r="BJ9">
        <v>58.168999999999997</v>
      </c>
      <c r="BK9">
        <v>0</v>
      </c>
      <c r="BL9" s="7">
        <v>41.892000000000003</v>
      </c>
      <c r="BM9">
        <v>41.892000000000003</v>
      </c>
      <c r="BN9" s="8">
        <v>0</v>
      </c>
      <c r="BO9">
        <v>1903.472</v>
      </c>
      <c r="BP9">
        <v>1903.472</v>
      </c>
      <c r="BQ9">
        <v>0</v>
      </c>
      <c r="BR9" s="7">
        <v>176.84100000000001</v>
      </c>
      <c r="BS9">
        <v>176.84100000000001</v>
      </c>
      <c r="BT9" s="8">
        <v>0</v>
      </c>
      <c r="BU9">
        <v>1998.482</v>
      </c>
      <c r="BV9">
        <v>1998.482</v>
      </c>
      <c r="BW9">
        <v>0</v>
      </c>
      <c r="BX9" s="7">
        <v>177.62</v>
      </c>
      <c r="BY9">
        <v>177.62</v>
      </c>
      <c r="BZ9" s="8">
        <v>0</v>
      </c>
      <c r="CA9">
        <v>48.491</v>
      </c>
      <c r="CB9">
        <v>48.491</v>
      </c>
      <c r="CC9">
        <v>0</v>
      </c>
      <c r="CD9" s="7">
        <v>36.197000000000003</v>
      </c>
      <c r="CE9">
        <v>36.197000000000003</v>
      </c>
      <c r="CF9" s="8">
        <v>0</v>
      </c>
      <c r="CG9">
        <v>566.28899999999999</v>
      </c>
      <c r="CH9">
        <v>566.28899999999999</v>
      </c>
      <c r="CI9">
        <v>0</v>
      </c>
      <c r="CJ9" s="7">
        <v>114.208</v>
      </c>
      <c r="CK9">
        <v>114.208</v>
      </c>
      <c r="CL9" s="8">
        <v>0</v>
      </c>
      <c r="CM9">
        <v>577.46799999999996</v>
      </c>
      <c r="CN9">
        <v>577.46799999999996</v>
      </c>
      <c r="CO9">
        <v>0</v>
      </c>
      <c r="CP9" s="7">
        <v>114.55200000000001</v>
      </c>
      <c r="CQ9">
        <v>114.55200000000001</v>
      </c>
      <c r="CR9" s="8">
        <v>0</v>
      </c>
      <c r="CS9" s="1"/>
      <c r="CT9">
        <v>46.926000000000002</v>
      </c>
      <c r="CU9">
        <v>46.926000000000002</v>
      </c>
      <c r="CV9">
        <v>0</v>
      </c>
      <c r="CW9" s="7">
        <v>35.039000000000001</v>
      </c>
      <c r="CX9">
        <v>35.039000000000001</v>
      </c>
      <c r="CY9" s="8">
        <v>0</v>
      </c>
      <c r="CZ9">
        <v>480.67599999999999</v>
      </c>
      <c r="DA9">
        <v>480.67599999999999</v>
      </c>
      <c r="DB9">
        <v>0</v>
      </c>
      <c r="DC9" s="7">
        <v>167.41900000000001</v>
      </c>
      <c r="DD9">
        <v>167.41900000000001</v>
      </c>
      <c r="DE9" s="8">
        <v>0</v>
      </c>
      <c r="DF9">
        <v>491.64299999999997</v>
      </c>
      <c r="DG9">
        <v>491.64299999999997</v>
      </c>
      <c r="DH9">
        <v>0</v>
      </c>
      <c r="DI9" s="7">
        <v>173.33799999999999</v>
      </c>
      <c r="DJ9">
        <v>173.33799999999999</v>
      </c>
      <c r="DK9" s="8">
        <v>0</v>
      </c>
      <c r="DL9">
        <v>39.039000000000001</v>
      </c>
      <c r="DM9">
        <v>39.039000000000001</v>
      </c>
      <c r="DN9">
        <v>0</v>
      </c>
      <c r="DO9" s="7">
        <v>30.335999999999999</v>
      </c>
      <c r="DP9">
        <v>30.335999999999999</v>
      </c>
      <c r="DQ9" s="8">
        <v>0</v>
      </c>
      <c r="DR9">
        <v>287.14100000000002</v>
      </c>
      <c r="DS9">
        <v>287.14100000000002</v>
      </c>
      <c r="DT9">
        <v>0</v>
      </c>
      <c r="DU9" s="7">
        <v>133.55799999999999</v>
      </c>
      <c r="DV9">
        <v>133.55799999999999</v>
      </c>
      <c r="DW9" s="8">
        <v>0</v>
      </c>
      <c r="DX9">
        <v>295.06599999999997</v>
      </c>
      <c r="DY9">
        <v>295.06599999999997</v>
      </c>
      <c r="DZ9">
        <v>0</v>
      </c>
      <c r="EA9" s="7">
        <v>139.274</v>
      </c>
      <c r="EB9">
        <v>139.274</v>
      </c>
      <c r="EC9" s="8">
        <v>0</v>
      </c>
      <c r="ED9" s="1"/>
      <c r="EE9" s="17"/>
    </row>
    <row r="10" spans="1:135" x14ac:dyDescent="0.2">
      <c r="A10" s="1"/>
      <c r="B10">
        <v>50</v>
      </c>
      <c r="C10" s="9">
        <v>3.0598830399999999E-7</v>
      </c>
      <c r="D10" s="9">
        <v>7.7599322599999995E-7</v>
      </c>
      <c r="E10" s="9">
        <v>-9.8542130000000005E-8</v>
      </c>
      <c r="F10" s="9">
        <v>8.34547778E-7</v>
      </c>
      <c r="G10" s="9">
        <v>1.094177895E-6</v>
      </c>
      <c r="H10" s="9">
        <v>1.137873247E-6</v>
      </c>
      <c r="I10" s="9">
        <v>2.0411416789999999E-6</v>
      </c>
      <c r="J10" s="9">
        <v>3.1074356839999999E-6</v>
      </c>
      <c r="K10" s="9">
        <v>3.386984036E-6</v>
      </c>
      <c r="L10" s="9">
        <v>0.150438844449337</v>
      </c>
      <c r="M10" s="9">
        <v>0.34004778173597699</v>
      </c>
      <c r="N10" s="9">
        <v>-2.7350673880192002E-2</v>
      </c>
      <c r="O10" s="9">
        <v>0.22104998904668799</v>
      </c>
      <c r="P10" s="9">
        <v>0.25822334677099301</v>
      </c>
      <c r="Q10" s="9">
        <v>0.17002275208595</v>
      </c>
      <c r="R10" s="9">
        <v>0.36542427752232298</v>
      </c>
      <c r="S10" s="9">
        <v>0.49669981978574801</v>
      </c>
      <c r="T10" s="9">
        <v>0.344940997848943</v>
      </c>
      <c r="U10" s="1"/>
      <c r="V10" s="1"/>
      <c r="W10" s="8">
        <v>40</v>
      </c>
      <c r="X10">
        <v>78.921999999999997</v>
      </c>
      <c r="Y10">
        <v>78.921999999999997</v>
      </c>
      <c r="Z10" s="8">
        <v>0</v>
      </c>
      <c r="AA10">
        <v>51.679000000000002</v>
      </c>
      <c r="AB10">
        <v>51.679000000000002</v>
      </c>
      <c r="AC10" s="8">
        <v>0</v>
      </c>
      <c r="AD10">
        <v>2101.7359999999999</v>
      </c>
      <c r="AE10">
        <v>2101.7359999999999</v>
      </c>
      <c r="AF10" s="8">
        <v>0</v>
      </c>
      <c r="AG10">
        <v>174</v>
      </c>
      <c r="AH10">
        <v>174</v>
      </c>
      <c r="AI10" s="8">
        <v>0</v>
      </c>
      <c r="AJ10">
        <v>2191.7269999999999</v>
      </c>
      <c r="AK10">
        <v>2191.7269999999999</v>
      </c>
      <c r="AL10" s="8">
        <v>0</v>
      </c>
      <c r="AM10">
        <v>174.529</v>
      </c>
      <c r="AN10">
        <v>174.529</v>
      </c>
      <c r="AO10" s="8">
        <v>0</v>
      </c>
      <c r="AP10">
        <v>71.882000000000005</v>
      </c>
      <c r="AQ10">
        <v>71.882000000000005</v>
      </c>
      <c r="AR10" s="8">
        <v>0</v>
      </c>
      <c r="AS10">
        <v>48.024000000000001</v>
      </c>
      <c r="AT10">
        <v>48.024000000000001</v>
      </c>
      <c r="AU10" s="8">
        <v>0</v>
      </c>
      <c r="AV10">
        <v>1090.9549999999999</v>
      </c>
      <c r="AW10">
        <v>1090.9549999999999</v>
      </c>
      <c r="AX10" s="8">
        <v>0</v>
      </c>
      <c r="AY10">
        <v>138.96899999999999</v>
      </c>
      <c r="AZ10">
        <v>138.96899999999999</v>
      </c>
      <c r="BA10" s="8">
        <v>0</v>
      </c>
      <c r="BB10">
        <v>1119.2470000000001</v>
      </c>
      <c r="BC10">
        <v>1119.2470000000001</v>
      </c>
      <c r="BD10" s="8">
        <v>0</v>
      </c>
      <c r="BE10">
        <v>139.29400000000001</v>
      </c>
      <c r="BF10">
        <v>139.29400000000001</v>
      </c>
      <c r="BG10">
        <v>0</v>
      </c>
      <c r="BH10" s="1"/>
      <c r="BI10">
        <v>71.228999999999999</v>
      </c>
      <c r="BJ10">
        <v>71.228999999999999</v>
      </c>
      <c r="BK10">
        <v>0</v>
      </c>
      <c r="BL10" s="7">
        <v>48.158000000000001</v>
      </c>
      <c r="BM10">
        <v>48.158000000000001</v>
      </c>
      <c r="BN10" s="8">
        <v>0</v>
      </c>
      <c r="BO10">
        <v>751.41600000000005</v>
      </c>
      <c r="BP10">
        <v>751.41600000000005</v>
      </c>
      <c r="BQ10">
        <v>0</v>
      </c>
      <c r="BR10" s="7">
        <v>147.251</v>
      </c>
      <c r="BS10">
        <v>147.251</v>
      </c>
      <c r="BT10" s="8">
        <v>0</v>
      </c>
      <c r="BU10">
        <v>761.70600000000002</v>
      </c>
      <c r="BV10">
        <v>761.70600000000002</v>
      </c>
      <c r="BW10">
        <v>0</v>
      </c>
      <c r="BX10" s="7">
        <v>147.65</v>
      </c>
      <c r="BY10">
        <v>147.65</v>
      </c>
      <c r="BZ10" s="8">
        <v>0</v>
      </c>
      <c r="CA10">
        <v>58.433999999999997</v>
      </c>
      <c r="CB10">
        <v>58.433999999999997</v>
      </c>
      <c r="CC10">
        <v>0</v>
      </c>
      <c r="CD10" s="7">
        <v>41.436999999999998</v>
      </c>
      <c r="CE10">
        <v>41.436999999999998</v>
      </c>
      <c r="CF10" s="8">
        <v>0</v>
      </c>
      <c r="CG10">
        <v>380.15699999999998</v>
      </c>
      <c r="CH10">
        <v>380.15699999999998</v>
      </c>
      <c r="CI10">
        <v>0</v>
      </c>
      <c r="CJ10" s="7">
        <v>104.59399999999999</v>
      </c>
      <c r="CK10">
        <v>104.59399999999999</v>
      </c>
      <c r="CL10" s="8">
        <v>0</v>
      </c>
      <c r="CM10">
        <v>383.66899999999998</v>
      </c>
      <c r="CN10">
        <v>383.66899999999998</v>
      </c>
      <c r="CO10">
        <v>0</v>
      </c>
      <c r="CP10" s="7">
        <v>104.812</v>
      </c>
      <c r="CQ10">
        <v>104.812</v>
      </c>
      <c r="CR10" s="8">
        <v>0</v>
      </c>
      <c r="CS10" s="1"/>
      <c r="CT10">
        <v>49.066000000000003</v>
      </c>
      <c r="CU10">
        <v>49.066000000000003</v>
      </c>
      <c r="CV10">
        <v>0</v>
      </c>
      <c r="CW10" s="7">
        <v>34.781999999999996</v>
      </c>
      <c r="CX10">
        <v>34.781999999999996</v>
      </c>
      <c r="CY10" s="8">
        <v>0</v>
      </c>
      <c r="CZ10">
        <v>244.91399999999999</v>
      </c>
      <c r="DA10">
        <v>244.91399999999999</v>
      </c>
      <c r="DB10">
        <v>0</v>
      </c>
      <c r="DC10" s="7">
        <v>114.964</v>
      </c>
      <c r="DD10" s="20">
        <v>114.964</v>
      </c>
      <c r="DE10" s="8">
        <v>0</v>
      </c>
      <c r="DF10">
        <v>248.25200000000001</v>
      </c>
      <c r="DG10">
        <v>248.25200000000001</v>
      </c>
      <c r="DH10">
        <v>0</v>
      </c>
      <c r="DI10" s="7">
        <v>117.343</v>
      </c>
      <c r="DJ10">
        <v>117.343</v>
      </c>
      <c r="DK10" s="8">
        <v>0</v>
      </c>
      <c r="DL10">
        <v>41.192999999999998</v>
      </c>
      <c r="DM10">
        <v>41.192999999999998</v>
      </c>
      <c r="DN10">
        <v>0</v>
      </c>
      <c r="DO10" s="7">
        <v>30.561</v>
      </c>
      <c r="DP10">
        <v>30.561</v>
      </c>
      <c r="DQ10" s="8">
        <v>0</v>
      </c>
      <c r="DR10">
        <v>181.63</v>
      </c>
      <c r="DS10">
        <v>181.63</v>
      </c>
      <c r="DT10">
        <v>0</v>
      </c>
      <c r="DU10" s="7">
        <v>98.926000000000002</v>
      </c>
      <c r="DV10">
        <v>98.926000000000002</v>
      </c>
      <c r="DW10" s="8">
        <v>0</v>
      </c>
      <c r="DX10">
        <v>184.584</v>
      </c>
      <c r="DY10">
        <v>184.584</v>
      </c>
      <c r="DZ10">
        <v>0</v>
      </c>
      <c r="EA10" s="7">
        <v>101.251</v>
      </c>
      <c r="EB10">
        <v>101.251</v>
      </c>
      <c r="EC10" s="8">
        <v>0</v>
      </c>
      <c r="ED10" s="1"/>
      <c r="EE10" s="17"/>
    </row>
    <row r="11" spans="1:135" x14ac:dyDescent="0.2">
      <c r="A11" s="1"/>
      <c r="B11">
        <v>60</v>
      </c>
      <c r="C11" s="3">
        <v>8.4203476100000004E-7</v>
      </c>
      <c r="D11" s="3">
        <v>1.378461257E-6</v>
      </c>
      <c r="E11" s="3">
        <v>3.6572683000000002E-7</v>
      </c>
      <c r="F11" s="3">
        <v>1.616949404E-6</v>
      </c>
      <c r="G11" s="3">
        <v>3.2052538410000002E-6</v>
      </c>
      <c r="H11" s="3">
        <v>2.1519582829999999E-6</v>
      </c>
      <c r="I11" s="3">
        <v>1.8630106559999999E-6</v>
      </c>
      <c r="J11" s="3">
        <v>3.8164248289999998E-6</v>
      </c>
      <c r="K11" s="3">
        <v>4.5928288100000004E-6</v>
      </c>
      <c r="L11" s="3">
        <v>0.324175961401163</v>
      </c>
      <c r="M11" s="3">
        <v>0.47308759511056597</v>
      </c>
      <c r="N11" s="3">
        <v>7.9589951023588998E-2</v>
      </c>
      <c r="O11" s="3">
        <v>0.328209472049727</v>
      </c>
      <c r="P11" s="3">
        <v>0.58019728070693999</v>
      </c>
      <c r="Q11" s="3">
        <v>0.24663536792683599</v>
      </c>
      <c r="R11" s="3">
        <v>0.27146956141454598</v>
      </c>
      <c r="S11" s="3">
        <v>0.496764506565399</v>
      </c>
      <c r="T11" s="3">
        <v>0.38100596390645403</v>
      </c>
      <c r="U11" s="1"/>
      <c r="V11" s="1"/>
      <c r="W11" s="9">
        <v>50</v>
      </c>
      <c r="X11" s="10">
        <v>92.658000000000001</v>
      </c>
      <c r="Y11" s="10">
        <v>92.658000000000001</v>
      </c>
      <c r="Z11" s="13">
        <v>0</v>
      </c>
      <c r="AA11" s="10">
        <v>57.427</v>
      </c>
      <c r="AB11" s="10">
        <v>57.427</v>
      </c>
      <c r="AC11" s="13">
        <v>0</v>
      </c>
      <c r="AD11" s="10">
        <v>1198.1279999999999</v>
      </c>
      <c r="AE11" s="10">
        <v>1198.1279999999999</v>
      </c>
      <c r="AF11" s="13">
        <v>0</v>
      </c>
      <c r="AG11" s="10">
        <v>160.99299999999999</v>
      </c>
      <c r="AH11" s="10">
        <v>160.99299999999999</v>
      </c>
      <c r="AI11" s="13">
        <v>0</v>
      </c>
      <c r="AJ11" s="10">
        <v>1220.4490000000001</v>
      </c>
      <c r="AK11" s="10">
        <v>1220.4490000000001</v>
      </c>
      <c r="AL11" s="13">
        <v>0</v>
      </c>
      <c r="AM11" s="10">
        <v>161.357</v>
      </c>
      <c r="AN11" s="10">
        <v>161.357</v>
      </c>
      <c r="AO11" s="13">
        <v>0</v>
      </c>
      <c r="AP11" s="10">
        <v>83.805999999999997</v>
      </c>
      <c r="AQ11" s="10">
        <v>83.805999999999997</v>
      </c>
      <c r="AR11" s="13">
        <v>0</v>
      </c>
      <c r="AS11" s="10">
        <v>53.234000000000002</v>
      </c>
      <c r="AT11" s="10">
        <v>53.234000000000002</v>
      </c>
      <c r="AU11" s="13">
        <v>0</v>
      </c>
      <c r="AV11" s="10">
        <v>778.49199999999996</v>
      </c>
      <c r="AW11" s="10">
        <v>778.49199999999996</v>
      </c>
      <c r="AX11" s="13">
        <v>0</v>
      </c>
      <c r="AY11" s="10">
        <v>132.37299999999999</v>
      </c>
      <c r="AZ11" s="10">
        <v>132.37299999999999</v>
      </c>
      <c r="BA11" s="13">
        <v>0</v>
      </c>
      <c r="BB11" s="10">
        <v>789.38</v>
      </c>
      <c r="BC11" s="10">
        <v>789.38</v>
      </c>
      <c r="BD11" s="13">
        <v>0</v>
      </c>
      <c r="BE11" s="10">
        <v>132.613</v>
      </c>
      <c r="BF11" s="10">
        <v>132.613</v>
      </c>
      <c r="BG11" s="10">
        <v>0</v>
      </c>
      <c r="BH11" s="12"/>
      <c r="BI11" s="11">
        <v>74.944000000000003</v>
      </c>
      <c r="BJ11" s="10">
        <v>74.944000000000003</v>
      </c>
      <c r="BK11" s="13">
        <v>0</v>
      </c>
      <c r="BL11" s="11">
        <v>48.633000000000003</v>
      </c>
      <c r="BM11" s="10">
        <v>48.633000000000003</v>
      </c>
      <c r="BN11" s="13">
        <v>0</v>
      </c>
      <c r="BO11" s="10">
        <v>409.19400000000002</v>
      </c>
      <c r="BP11" s="10">
        <v>409.19400000000002</v>
      </c>
      <c r="BQ11" s="10">
        <v>0</v>
      </c>
      <c r="BR11" s="11">
        <v>118.256</v>
      </c>
      <c r="BS11" s="10">
        <v>118.256</v>
      </c>
      <c r="BT11" s="13">
        <v>0</v>
      </c>
      <c r="BU11" s="10">
        <v>411.58699999999999</v>
      </c>
      <c r="BV11" s="10">
        <v>411.58699999999999</v>
      </c>
      <c r="BW11" s="10">
        <v>0</v>
      </c>
      <c r="BX11" s="11">
        <v>118.47499999999999</v>
      </c>
      <c r="BY11" s="10">
        <v>118.47499999999999</v>
      </c>
      <c r="BZ11" s="13">
        <v>0</v>
      </c>
      <c r="CA11" s="10">
        <v>61.664000000000001</v>
      </c>
      <c r="CB11" s="10">
        <v>61.664000000000001</v>
      </c>
      <c r="CC11" s="10">
        <v>0</v>
      </c>
      <c r="CD11" s="11">
        <v>42.203000000000003</v>
      </c>
      <c r="CE11" s="10">
        <v>42.203000000000003</v>
      </c>
      <c r="CF11" s="13">
        <v>0</v>
      </c>
      <c r="CG11" s="10">
        <v>257.64600000000002</v>
      </c>
      <c r="CH11" s="10">
        <v>257.64600000000002</v>
      </c>
      <c r="CI11" s="10">
        <v>0</v>
      </c>
      <c r="CJ11" s="11">
        <v>90.71</v>
      </c>
      <c r="CK11" s="10">
        <v>90.71</v>
      </c>
      <c r="CL11" s="13">
        <v>0</v>
      </c>
      <c r="CM11" s="10">
        <v>258.86399999999998</v>
      </c>
      <c r="CN11" s="10">
        <v>258.86399999999998</v>
      </c>
      <c r="CO11" s="10">
        <v>0</v>
      </c>
      <c r="CP11" s="11">
        <v>90.850999999999999</v>
      </c>
      <c r="CQ11" s="18">
        <v>90.850999999999999</v>
      </c>
      <c r="CR11" s="13">
        <v>0</v>
      </c>
      <c r="CS11" s="12"/>
      <c r="CT11" s="11">
        <v>46.334000000000003</v>
      </c>
      <c r="CU11" s="10">
        <v>46.334000000000003</v>
      </c>
      <c r="CV11" s="10">
        <v>0</v>
      </c>
      <c r="CW11" s="11">
        <v>31.893000000000001</v>
      </c>
      <c r="CX11" s="10">
        <v>31.893000000000001</v>
      </c>
      <c r="CY11" s="13">
        <v>0</v>
      </c>
      <c r="CZ11" s="10">
        <v>158.374</v>
      </c>
      <c r="DA11" s="10">
        <v>158.374</v>
      </c>
      <c r="DB11" s="10">
        <v>0</v>
      </c>
      <c r="DC11" s="11">
        <v>84.319000000000003</v>
      </c>
      <c r="DD11" s="19">
        <v>84.319000000000003</v>
      </c>
      <c r="DE11" s="13">
        <v>0</v>
      </c>
      <c r="DF11" s="10">
        <v>159.78899999999999</v>
      </c>
      <c r="DG11" s="10">
        <v>159.78899999999999</v>
      </c>
      <c r="DH11" s="10">
        <v>0</v>
      </c>
      <c r="DI11" s="11">
        <v>85.405000000000001</v>
      </c>
      <c r="DJ11" s="10">
        <v>85.405000000000001</v>
      </c>
      <c r="DK11" s="13">
        <v>0</v>
      </c>
      <c r="DL11" s="10">
        <v>39.531999999999996</v>
      </c>
      <c r="DM11" s="10">
        <v>39.531999999999996</v>
      </c>
      <c r="DN11" s="10">
        <v>0</v>
      </c>
      <c r="DO11" s="11">
        <v>28.484999999999999</v>
      </c>
      <c r="DP11" s="10">
        <v>28.484999999999999</v>
      </c>
      <c r="DQ11" s="13">
        <v>0</v>
      </c>
      <c r="DR11" s="10">
        <v>127.373</v>
      </c>
      <c r="DS11" s="10">
        <v>127.373</v>
      </c>
      <c r="DT11" s="10">
        <v>0</v>
      </c>
      <c r="DU11" s="11">
        <v>75.233000000000004</v>
      </c>
      <c r="DV11" s="10">
        <v>75.233000000000004</v>
      </c>
      <c r="DW11" s="13">
        <v>0</v>
      </c>
      <c r="DX11" s="10">
        <v>128.68199999999999</v>
      </c>
      <c r="DY11" s="10">
        <v>128.68199999999999</v>
      </c>
      <c r="DZ11" s="10">
        <v>0</v>
      </c>
      <c r="EA11" s="11">
        <v>76.299000000000007</v>
      </c>
      <c r="EB11" s="10">
        <v>76.299000000000007</v>
      </c>
      <c r="EC11" s="13">
        <v>0</v>
      </c>
      <c r="ED11" s="1"/>
      <c r="EE11" s="9" t="s">
        <v>90</v>
      </c>
    </row>
    <row r="12" spans="1:135" x14ac:dyDescent="0.2">
      <c r="A12" s="1"/>
      <c r="B12">
        <v>70</v>
      </c>
      <c r="C12" s="3">
        <v>1.823359877E-6</v>
      </c>
      <c r="D12" s="3">
        <v>1.779048541E-6</v>
      </c>
      <c r="E12" s="3">
        <v>9.2780179599999999E-7</v>
      </c>
      <c r="F12" s="3">
        <v>1.9015451009999999E-6</v>
      </c>
      <c r="G12" s="3">
        <v>2.345733378E-6</v>
      </c>
      <c r="H12" s="3">
        <v>3.239390464E-6</v>
      </c>
      <c r="I12" s="3">
        <v>2.6282940910000002E-6</v>
      </c>
      <c r="J12" s="3">
        <v>4.1156492650000003E-6</v>
      </c>
      <c r="K12" s="3">
        <v>4.2024230270000004E-6</v>
      </c>
      <c r="L12" s="3">
        <v>0.56900630685035702</v>
      </c>
      <c r="M12" s="3">
        <v>0.49489543795526902</v>
      </c>
      <c r="N12" s="3">
        <v>0.16387121158311899</v>
      </c>
      <c r="O12" s="3">
        <v>0.31654200218288198</v>
      </c>
      <c r="P12" s="3">
        <v>0.34844307412666498</v>
      </c>
      <c r="Q12" s="3">
        <v>0.30467305451557403</v>
      </c>
      <c r="R12" s="3">
        <v>0.331897332908832</v>
      </c>
      <c r="S12" s="3">
        <v>0.46453718706109998</v>
      </c>
      <c r="T12" s="3">
        <v>0.30214678754472202</v>
      </c>
      <c r="U12" s="1"/>
      <c r="V12" s="1"/>
      <c r="W12" s="3">
        <v>60</v>
      </c>
      <c r="X12">
        <v>98.888000000000005</v>
      </c>
      <c r="Y12">
        <v>98.888000000000005</v>
      </c>
      <c r="Z12" s="8">
        <v>0</v>
      </c>
      <c r="AA12">
        <v>58.985999999999997</v>
      </c>
      <c r="AB12">
        <v>58.985999999999997</v>
      </c>
      <c r="AC12" s="8">
        <v>0</v>
      </c>
      <c r="AD12">
        <v>764.85</v>
      </c>
      <c r="AE12">
        <v>764.85</v>
      </c>
      <c r="AF12" s="8">
        <v>0</v>
      </c>
      <c r="AG12">
        <v>143.41499999999999</v>
      </c>
      <c r="AH12">
        <v>143.41499999999999</v>
      </c>
      <c r="AI12" s="8">
        <v>0</v>
      </c>
      <c r="AJ12">
        <v>772.24599999999998</v>
      </c>
      <c r="AK12">
        <v>772.24599999999998</v>
      </c>
      <c r="AL12" s="8">
        <v>0</v>
      </c>
      <c r="AM12">
        <v>143.66900000000001</v>
      </c>
      <c r="AN12">
        <v>143.66900000000001</v>
      </c>
      <c r="AO12" s="8">
        <v>0</v>
      </c>
      <c r="AP12">
        <v>89.400999999999996</v>
      </c>
      <c r="AQ12">
        <v>89.400999999999996</v>
      </c>
      <c r="AR12" s="8">
        <v>0</v>
      </c>
      <c r="AS12">
        <v>54.802</v>
      </c>
      <c r="AT12">
        <v>54.802</v>
      </c>
      <c r="AU12" s="8">
        <v>0</v>
      </c>
      <c r="AV12">
        <v>560</v>
      </c>
      <c r="AW12">
        <v>560</v>
      </c>
      <c r="AX12" s="8">
        <v>0</v>
      </c>
      <c r="AY12">
        <v>121.26</v>
      </c>
      <c r="AZ12">
        <v>121.26</v>
      </c>
      <c r="BA12" s="8">
        <v>0</v>
      </c>
      <c r="BB12">
        <v>564.505</v>
      </c>
      <c r="BC12">
        <v>564.505</v>
      </c>
      <c r="BD12" s="8">
        <v>0</v>
      </c>
      <c r="BE12">
        <v>121.438</v>
      </c>
      <c r="BF12">
        <v>121.438</v>
      </c>
      <c r="BG12">
        <v>0</v>
      </c>
      <c r="BH12" s="1"/>
      <c r="BI12">
        <v>73.447000000000003</v>
      </c>
      <c r="BJ12">
        <v>73.447000000000003</v>
      </c>
      <c r="BK12">
        <v>0</v>
      </c>
      <c r="BL12" s="7">
        <v>46.462000000000003</v>
      </c>
      <c r="BM12">
        <v>46.462000000000003</v>
      </c>
      <c r="BN12" s="8">
        <v>0</v>
      </c>
      <c r="BO12" s="6">
        <v>270.49200000000002</v>
      </c>
      <c r="BP12" s="16">
        <v>270.49200000000002</v>
      </c>
      <c r="BQ12" s="15">
        <v>0</v>
      </c>
      <c r="BR12" s="6">
        <v>96.433999999999997</v>
      </c>
      <c r="BS12" s="16">
        <v>96.433999999999997</v>
      </c>
      <c r="BT12" s="15">
        <v>0</v>
      </c>
      <c r="BU12">
        <v>271.38900000000001</v>
      </c>
      <c r="BV12">
        <v>271.38900000000001</v>
      </c>
      <c r="BW12">
        <v>0</v>
      </c>
      <c r="BX12" s="7">
        <v>96.566999999999993</v>
      </c>
      <c r="BY12">
        <v>96.566999999999993</v>
      </c>
      <c r="BZ12" s="8">
        <v>0</v>
      </c>
      <c r="CA12">
        <v>60.98</v>
      </c>
      <c r="CB12">
        <v>60.98</v>
      </c>
      <c r="CC12">
        <v>0</v>
      </c>
      <c r="CD12" s="7">
        <v>40.768999999999998</v>
      </c>
      <c r="CE12">
        <v>40.768999999999998</v>
      </c>
      <c r="CF12" s="8">
        <v>0</v>
      </c>
      <c r="CG12" s="6">
        <v>189.10499999999999</v>
      </c>
      <c r="CH12" s="16">
        <v>189.10499999999999</v>
      </c>
      <c r="CI12" s="15">
        <v>0</v>
      </c>
      <c r="CJ12" s="7">
        <v>77.921999999999997</v>
      </c>
      <c r="CK12">
        <v>77.921999999999997</v>
      </c>
      <c r="CL12" s="8">
        <v>0</v>
      </c>
      <c r="CM12">
        <v>189.64500000000001</v>
      </c>
      <c r="CN12">
        <v>189.64500000000001</v>
      </c>
      <c r="CO12">
        <v>0</v>
      </c>
      <c r="CP12" s="7">
        <v>78.016000000000005</v>
      </c>
      <c r="CQ12" s="16">
        <v>78.016000000000005</v>
      </c>
      <c r="CR12" s="8">
        <v>0</v>
      </c>
      <c r="CS12" s="1"/>
      <c r="CT12">
        <v>42.478000000000002</v>
      </c>
      <c r="CU12">
        <v>42.478000000000002</v>
      </c>
      <c r="CV12">
        <v>0</v>
      </c>
      <c r="CW12" s="7">
        <v>28.736999999999998</v>
      </c>
      <c r="CX12">
        <v>28.736999999999998</v>
      </c>
      <c r="CY12" s="8">
        <v>0</v>
      </c>
      <c r="CZ12">
        <v>115.96</v>
      </c>
      <c r="DA12">
        <v>115.96</v>
      </c>
      <c r="DB12">
        <v>0</v>
      </c>
      <c r="DC12" s="7">
        <v>65.710999999999999</v>
      </c>
      <c r="DD12">
        <v>65.710999999999999</v>
      </c>
      <c r="DE12" s="8">
        <v>0</v>
      </c>
      <c r="DF12">
        <v>116.69</v>
      </c>
      <c r="DG12">
        <v>116.69</v>
      </c>
      <c r="DH12">
        <v>0</v>
      </c>
      <c r="DI12" s="7">
        <v>66.286000000000001</v>
      </c>
      <c r="DJ12">
        <v>66.286000000000001</v>
      </c>
      <c r="DK12" s="8">
        <v>0</v>
      </c>
      <c r="DL12">
        <v>36.799999999999997</v>
      </c>
      <c r="DM12">
        <v>36.799999999999997</v>
      </c>
      <c r="DN12">
        <v>0</v>
      </c>
      <c r="DO12" s="7">
        <v>26.013999999999999</v>
      </c>
      <c r="DP12">
        <v>26.013999999999999</v>
      </c>
      <c r="DQ12" s="8">
        <v>0</v>
      </c>
      <c r="DR12">
        <v>97.221000000000004</v>
      </c>
      <c r="DS12">
        <v>97.221000000000004</v>
      </c>
      <c r="DT12">
        <v>0</v>
      </c>
      <c r="DU12" s="7">
        <v>59.832000000000001</v>
      </c>
      <c r="DV12">
        <v>59.832000000000001</v>
      </c>
      <c r="DW12" s="8">
        <v>0</v>
      </c>
      <c r="DX12">
        <v>97.906999999999996</v>
      </c>
      <c r="DY12">
        <v>97.906999999999996</v>
      </c>
      <c r="DZ12">
        <v>0</v>
      </c>
      <c r="EA12" s="7">
        <v>60.398000000000003</v>
      </c>
      <c r="EB12">
        <v>60.398000000000003</v>
      </c>
      <c r="EC12" s="8">
        <v>0</v>
      </c>
      <c r="ED12" s="1"/>
    </row>
    <row r="13" spans="1:135" x14ac:dyDescent="0.2">
      <c r="A13" s="1"/>
      <c r="B13">
        <v>80</v>
      </c>
      <c r="C13" s="3">
        <v>2.1144544099999998E-6</v>
      </c>
      <c r="D13" s="3">
        <v>2.2198595040000002E-6</v>
      </c>
      <c r="E13" s="3">
        <v>1.556464852E-6</v>
      </c>
      <c r="F13" s="3">
        <v>2.0868498829999999E-6</v>
      </c>
      <c r="G13" s="3">
        <v>2.8518281859999999E-6</v>
      </c>
      <c r="H13" s="3">
        <v>4.1732158659999999E-6</v>
      </c>
      <c r="I13" s="3">
        <v>3.8102209259999998E-6</v>
      </c>
      <c r="J13" s="3">
        <v>5.3833750560000001E-6</v>
      </c>
      <c r="K13" s="3">
        <v>5.9609793010000004E-6</v>
      </c>
      <c r="L13" s="3">
        <v>0.55067313263663897</v>
      </c>
      <c r="M13" s="3">
        <v>0.51535246112819399</v>
      </c>
      <c r="N13" s="3">
        <v>0.229667312766834</v>
      </c>
      <c r="O13" s="3">
        <v>0.299577254829761</v>
      </c>
      <c r="P13" s="3">
        <v>0.36527127743708299</v>
      </c>
      <c r="Q13" s="3">
        <v>0.33866785282160999</v>
      </c>
      <c r="R13" s="3">
        <v>0.43463979424398502</v>
      </c>
      <c r="S13" s="3">
        <v>0.54908843656127504</v>
      </c>
      <c r="T13" s="3">
        <v>0.38714527203937299</v>
      </c>
      <c r="U13" s="1"/>
      <c r="V13" s="1"/>
      <c r="W13" s="3">
        <v>70</v>
      </c>
      <c r="X13">
        <v>99.777000000000001</v>
      </c>
      <c r="Y13">
        <v>99.777000000000001</v>
      </c>
      <c r="Z13" s="8">
        <v>0</v>
      </c>
      <c r="AA13">
        <v>58.021000000000001</v>
      </c>
      <c r="AB13">
        <v>58.021000000000001</v>
      </c>
      <c r="AC13" s="8">
        <v>0</v>
      </c>
      <c r="AD13">
        <v>529.12</v>
      </c>
      <c r="AE13">
        <v>529.12</v>
      </c>
      <c r="AF13" s="8">
        <v>0</v>
      </c>
      <c r="AG13">
        <v>126.202</v>
      </c>
      <c r="AH13">
        <v>126.202</v>
      </c>
      <c r="AI13" s="8">
        <v>0</v>
      </c>
      <c r="AJ13">
        <v>532.13099999999997</v>
      </c>
      <c r="AK13">
        <v>532.13099999999997</v>
      </c>
      <c r="AL13" s="8">
        <v>0</v>
      </c>
      <c r="AM13">
        <v>126.383</v>
      </c>
      <c r="AN13">
        <v>126.383</v>
      </c>
      <c r="AO13" s="8">
        <v>0</v>
      </c>
      <c r="AP13">
        <v>90.400999999999996</v>
      </c>
      <c r="AQ13">
        <v>90.400999999999996</v>
      </c>
      <c r="AR13" s="8">
        <v>0</v>
      </c>
      <c r="AS13">
        <v>54.110999999999997</v>
      </c>
      <c r="AT13">
        <v>54.110999999999997</v>
      </c>
      <c r="AU13" s="8">
        <v>0</v>
      </c>
      <c r="AV13">
        <v>414.315</v>
      </c>
      <c r="AW13">
        <v>414.315</v>
      </c>
      <c r="AX13" s="8">
        <v>0</v>
      </c>
      <c r="AY13">
        <v>109.16200000000001</v>
      </c>
      <c r="AZ13">
        <v>109.16200000000001</v>
      </c>
      <c r="BA13" s="8">
        <v>0</v>
      </c>
      <c r="BB13">
        <v>416.375</v>
      </c>
      <c r="BC13">
        <v>416.375</v>
      </c>
      <c r="BD13" s="8">
        <v>0</v>
      </c>
      <c r="BE13">
        <v>109.295</v>
      </c>
      <c r="BF13">
        <v>109.295</v>
      </c>
      <c r="BG13">
        <v>0</v>
      </c>
      <c r="BH13" s="1"/>
      <c r="BI13">
        <v>69.789000000000001</v>
      </c>
      <c r="BJ13">
        <v>69.789000000000001</v>
      </c>
      <c r="BK13">
        <v>0</v>
      </c>
      <c r="BL13" s="7">
        <v>43.435000000000002</v>
      </c>
      <c r="BM13">
        <v>43.435000000000002</v>
      </c>
      <c r="BN13" s="8">
        <v>0</v>
      </c>
      <c r="BO13" s="7">
        <v>200.21</v>
      </c>
      <c r="BP13">
        <v>200.21</v>
      </c>
      <c r="BQ13" s="8">
        <v>0</v>
      </c>
      <c r="BR13" s="7">
        <v>80.637</v>
      </c>
      <c r="BS13">
        <v>80.637</v>
      </c>
      <c r="BT13" s="8">
        <v>0</v>
      </c>
      <c r="BU13">
        <v>200.65700000000001</v>
      </c>
      <c r="BV13">
        <v>200.65700000000001</v>
      </c>
      <c r="BW13">
        <v>0</v>
      </c>
      <c r="BX13" s="7">
        <v>80.724999999999994</v>
      </c>
      <c r="BY13">
        <v>80.724999999999994</v>
      </c>
      <c r="BZ13" s="8">
        <v>0</v>
      </c>
      <c r="CA13">
        <v>58.536999999999999</v>
      </c>
      <c r="CB13">
        <v>58.536999999999999</v>
      </c>
      <c r="CC13">
        <v>0</v>
      </c>
      <c r="CD13" s="7">
        <v>38.517000000000003</v>
      </c>
      <c r="CE13">
        <v>38.517000000000003</v>
      </c>
      <c r="CF13" s="8">
        <v>0</v>
      </c>
      <c r="CG13" s="7">
        <v>148.745</v>
      </c>
      <c r="CH13">
        <v>148.745</v>
      </c>
      <c r="CI13" s="8">
        <v>0</v>
      </c>
      <c r="CJ13" s="7">
        <v>67.489000000000004</v>
      </c>
      <c r="CK13">
        <v>67.489000000000004</v>
      </c>
      <c r="CL13" s="8">
        <v>0</v>
      </c>
      <c r="CM13">
        <v>149.03800000000001</v>
      </c>
      <c r="CN13">
        <v>149.03800000000001</v>
      </c>
      <c r="CO13">
        <v>0</v>
      </c>
      <c r="CP13" s="7">
        <v>67.555999999999997</v>
      </c>
      <c r="CQ13">
        <v>67.555999999999997</v>
      </c>
      <c r="CR13" s="8">
        <v>0</v>
      </c>
      <c r="CS13" s="1"/>
      <c r="CT13">
        <v>38.770000000000003</v>
      </c>
      <c r="CU13">
        <v>38.770000000000003</v>
      </c>
      <c r="CV13">
        <v>0</v>
      </c>
      <c r="CW13" s="7">
        <v>25.934000000000001</v>
      </c>
      <c r="CX13">
        <v>25.934000000000001</v>
      </c>
      <c r="CY13" s="8">
        <v>0</v>
      </c>
      <c r="CZ13">
        <v>91.370999999999995</v>
      </c>
      <c r="DA13">
        <v>91.370999999999995</v>
      </c>
      <c r="DB13">
        <v>0</v>
      </c>
      <c r="DC13" s="7">
        <v>53.63</v>
      </c>
      <c r="DD13">
        <v>53.63</v>
      </c>
      <c r="DE13" s="8">
        <v>0</v>
      </c>
      <c r="DF13">
        <v>91.802999999999997</v>
      </c>
      <c r="DG13">
        <v>91.802999999999997</v>
      </c>
      <c r="DH13">
        <v>0</v>
      </c>
      <c r="DI13" s="7">
        <v>53.975000000000001</v>
      </c>
      <c r="DJ13">
        <v>53.975000000000001</v>
      </c>
      <c r="DK13" s="8">
        <v>0</v>
      </c>
      <c r="DL13">
        <v>34.031999999999996</v>
      </c>
      <c r="DM13">
        <v>34.031999999999996</v>
      </c>
      <c r="DN13">
        <v>0</v>
      </c>
      <c r="DO13" s="7">
        <v>23.731999999999999</v>
      </c>
      <c r="DP13">
        <v>23.731999999999999</v>
      </c>
      <c r="DQ13" s="8">
        <v>0</v>
      </c>
      <c r="DR13">
        <v>78.626000000000005</v>
      </c>
      <c r="DS13">
        <v>78.626000000000005</v>
      </c>
      <c r="DT13">
        <v>0</v>
      </c>
      <c r="DU13" s="7">
        <v>49.478000000000002</v>
      </c>
      <c r="DV13">
        <v>49.478000000000002</v>
      </c>
      <c r="DW13" s="8">
        <v>0</v>
      </c>
      <c r="DX13">
        <v>79.034999999999997</v>
      </c>
      <c r="DY13">
        <v>79.034999999999997</v>
      </c>
      <c r="DZ13">
        <v>0</v>
      </c>
      <c r="EA13" s="7">
        <v>49.817999999999998</v>
      </c>
      <c r="EB13">
        <v>49.817999999999998</v>
      </c>
      <c r="EC13" s="8">
        <v>0</v>
      </c>
      <c r="ED13" s="1"/>
    </row>
    <row r="14" spans="1:135" x14ac:dyDescent="0.2">
      <c r="A14" s="1"/>
      <c r="B14">
        <v>90</v>
      </c>
      <c r="C14" s="3">
        <v>1.8618368339999999E-6</v>
      </c>
      <c r="D14" s="3">
        <v>2.7385055239999998E-6</v>
      </c>
      <c r="E14" s="3">
        <v>2.2174341939999999E-6</v>
      </c>
      <c r="F14" s="3">
        <v>2.394145802E-6</v>
      </c>
      <c r="G14" s="3">
        <v>2.8157871309999998E-6</v>
      </c>
      <c r="H14" s="3">
        <v>5.1983896200000001E-6</v>
      </c>
      <c r="I14" s="3">
        <v>2.87113366E-6</v>
      </c>
      <c r="J14" s="3">
        <v>6.1411688300000004E-6</v>
      </c>
      <c r="K14" s="3">
        <v>7.4980932169999997E-6</v>
      </c>
      <c r="L14" s="3">
        <v>0.41568175597049301</v>
      </c>
      <c r="M14" s="3">
        <v>0.54494042812717003</v>
      </c>
      <c r="N14" s="3">
        <v>0.280788117628338</v>
      </c>
      <c r="O14" s="3">
        <v>0.30735497549380603</v>
      </c>
      <c r="P14" s="3">
        <v>0.32265825473052601</v>
      </c>
      <c r="Q14" s="3">
        <v>0.37746060360272499</v>
      </c>
      <c r="R14" s="3">
        <v>0.30395988146072001</v>
      </c>
      <c r="S14" s="3">
        <v>0.58167903265818599</v>
      </c>
      <c r="T14" s="3">
        <v>0.45215766745470998</v>
      </c>
      <c r="U14" s="1"/>
      <c r="V14" s="1"/>
      <c r="W14" s="3">
        <v>80</v>
      </c>
      <c r="X14">
        <v>97.489000000000004</v>
      </c>
      <c r="Y14">
        <v>97.489000000000004</v>
      </c>
      <c r="Z14" s="8">
        <v>0</v>
      </c>
      <c r="AA14">
        <v>55.774000000000001</v>
      </c>
      <c r="AB14">
        <v>55.774000000000001</v>
      </c>
      <c r="AC14" s="8">
        <v>0</v>
      </c>
      <c r="AD14">
        <v>391.64400000000001</v>
      </c>
      <c r="AE14">
        <v>391.64400000000001</v>
      </c>
      <c r="AF14" s="8">
        <v>0</v>
      </c>
      <c r="AG14">
        <v>111.104</v>
      </c>
      <c r="AH14">
        <v>111.104</v>
      </c>
      <c r="AI14" s="8">
        <v>0</v>
      </c>
      <c r="AJ14">
        <v>393.10899999999998</v>
      </c>
      <c r="AK14">
        <v>393.10899999999998</v>
      </c>
      <c r="AL14" s="8">
        <v>0</v>
      </c>
      <c r="AM14">
        <v>111.238</v>
      </c>
      <c r="AN14">
        <v>111.238</v>
      </c>
      <c r="AO14" s="8">
        <v>0</v>
      </c>
      <c r="AP14">
        <v>88.58</v>
      </c>
      <c r="AQ14">
        <v>88.58</v>
      </c>
      <c r="AR14" s="8">
        <v>0</v>
      </c>
      <c r="AS14">
        <v>52.222999999999999</v>
      </c>
      <c r="AT14">
        <v>52.222999999999999</v>
      </c>
      <c r="AU14" s="8">
        <v>0</v>
      </c>
      <c r="AV14">
        <v>319.24099999999999</v>
      </c>
      <c r="AW14">
        <v>319.24099999999999</v>
      </c>
      <c r="AX14" s="8">
        <v>0</v>
      </c>
      <c r="AY14">
        <v>97.820999999999998</v>
      </c>
      <c r="AZ14">
        <v>97.820999999999998</v>
      </c>
      <c r="BA14" s="8">
        <v>0</v>
      </c>
      <c r="BB14">
        <v>320.30900000000003</v>
      </c>
      <c r="BC14">
        <v>320.30900000000003</v>
      </c>
      <c r="BD14" s="8">
        <v>0</v>
      </c>
      <c r="BE14">
        <v>97.923000000000002</v>
      </c>
      <c r="BF14">
        <v>97.923000000000002</v>
      </c>
      <c r="BG14">
        <v>0</v>
      </c>
      <c r="BH14" s="1"/>
      <c r="BI14">
        <v>65.525000000000006</v>
      </c>
      <c r="BJ14">
        <v>65.525000000000006</v>
      </c>
      <c r="BK14">
        <v>0</v>
      </c>
      <c r="BL14" s="7">
        <v>40.331000000000003</v>
      </c>
      <c r="BM14">
        <v>40.331000000000003</v>
      </c>
      <c r="BN14" s="8">
        <v>0</v>
      </c>
      <c r="BO14" s="7">
        <v>158.822</v>
      </c>
      <c r="BP14">
        <v>158.822</v>
      </c>
      <c r="BQ14" s="8">
        <v>0</v>
      </c>
      <c r="BR14" s="7">
        <v>69.027000000000001</v>
      </c>
      <c r="BS14">
        <v>69.027000000000001</v>
      </c>
      <c r="BT14" s="8">
        <v>0</v>
      </c>
      <c r="BU14">
        <v>159.08699999999999</v>
      </c>
      <c r="BV14">
        <v>159.08699999999999</v>
      </c>
      <c r="BW14">
        <v>0</v>
      </c>
      <c r="BX14" s="7">
        <v>69.088999999999999</v>
      </c>
      <c r="BY14">
        <v>69.088999999999999</v>
      </c>
      <c r="BZ14" s="8">
        <v>0</v>
      </c>
      <c r="CA14">
        <v>55.503999999999998</v>
      </c>
      <c r="CB14">
        <v>55.503999999999998</v>
      </c>
      <c r="CC14">
        <v>0</v>
      </c>
      <c r="CD14" s="7">
        <v>36.097999999999999</v>
      </c>
      <c r="CE14">
        <v>36.097999999999999</v>
      </c>
      <c r="CF14" s="8">
        <v>0</v>
      </c>
      <c r="CG14" s="7">
        <v>122.83799999999999</v>
      </c>
      <c r="CH14">
        <v>122.83799999999999</v>
      </c>
      <c r="CI14" s="8">
        <v>0</v>
      </c>
      <c r="CJ14" s="7">
        <v>59.218000000000004</v>
      </c>
      <c r="CK14">
        <v>59.218000000000004</v>
      </c>
      <c r="CL14" s="8">
        <v>0</v>
      </c>
      <c r="CM14">
        <v>123.021</v>
      </c>
      <c r="CN14">
        <v>123.021</v>
      </c>
      <c r="CO14">
        <v>0</v>
      </c>
      <c r="CP14" s="7">
        <v>59.267000000000003</v>
      </c>
      <c r="CQ14">
        <v>59.267000000000003</v>
      </c>
      <c r="CR14" s="8">
        <v>0</v>
      </c>
      <c r="CS14" s="1"/>
      <c r="CT14">
        <v>35.512</v>
      </c>
      <c r="CU14">
        <v>35.512</v>
      </c>
      <c r="CV14">
        <v>0</v>
      </c>
      <c r="CW14" s="7">
        <v>23.564</v>
      </c>
      <c r="CX14">
        <v>23.564</v>
      </c>
      <c r="CY14" s="8">
        <v>0</v>
      </c>
      <c r="CZ14">
        <v>75.480999999999995</v>
      </c>
      <c r="DA14">
        <v>75.480999999999995</v>
      </c>
      <c r="DB14">
        <v>0</v>
      </c>
      <c r="DC14" s="7">
        <v>45.277999999999999</v>
      </c>
      <c r="DD14">
        <v>45.277999999999999</v>
      </c>
      <c r="DE14" s="8">
        <v>0</v>
      </c>
      <c r="DF14">
        <v>75.763999999999996</v>
      </c>
      <c r="DG14">
        <v>75.763999999999996</v>
      </c>
      <c r="DH14">
        <v>0</v>
      </c>
      <c r="DI14" s="7">
        <v>45.505000000000003</v>
      </c>
      <c r="DJ14">
        <v>45.505000000000003</v>
      </c>
      <c r="DK14" s="8">
        <v>0</v>
      </c>
      <c r="DL14">
        <v>31.52</v>
      </c>
      <c r="DM14">
        <v>31.52</v>
      </c>
      <c r="DN14">
        <v>0</v>
      </c>
      <c r="DO14" s="7">
        <v>21.751999999999999</v>
      </c>
      <c r="DP14">
        <v>21.751999999999999</v>
      </c>
      <c r="DQ14" s="8">
        <v>0</v>
      </c>
      <c r="DR14">
        <v>66.150999999999996</v>
      </c>
      <c r="DS14">
        <v>66.150999999999996</v>
      </c>
      <c r="DT14">
        <v>0</v>
      </c>
      <c r="DU14" s="7">
        <v>42.167999999999999</v>
      </c>
      <c r="DV14">
        <v>42.167999999999999</v>
      </c>
      <c r="DW14" s="8">
        <v>0</v>
      </c>
      <c r="DX14">
        <v>66.42</v>
      </c>
      <c r="DY14">
        <v>66.42</v>
      </c>
      <c r="DZ14">
        <v>0</v>
      </c>
      <c r="EA14" s="7">
        <v>42.392000000000003</v>
      </c>
      <c r="EB14">
        <v>42.392000000000003</v>
      </c>
      <c r="EC14" s="8">
        <v>0</v>
      </c>
      <c r="ED14" s="1"/>
    </row>
    <row r="15" spans="1:135" x14ac:dyDescent="0.2">
      <c r="A15" s="1"/>
      <c r="B15">
        <v>100</v>
      </c>
      <c r="C15" s="3">
        <v>1.498742332E-6</v>
      </c>
      <c r="D15" s="3">
        <v>1.9793942000000002E-6</v>
      </c>
      <c r="E15" s="3">
        <v>2.8767706550000001E-6</v>
      </c>
      <c r="F15" s="3">
        <v>4.0713996809999997E-6</v>
      </c>
      <c r="G15" s="3">
        <v>4.6855168959999997E-6</v>
      </c>
      <c r="H15" s="3">
        <v>6.4704491100000004E-6</v>
      </c>
      <c r="I15" s="3">
        <v>4.1866248119999997E-6</v>
      </c>
      <c r="J15" s="3">
        <v>6.4681977060000001E-6</v>
      </c>
      <c r="K15" s="3">
        <v>7.15974756E-6</v>
      </c>
      <c r="L15" s="3">
        <v>0.29387248184107201</v>
      </c>
      <c r="M15" s="3">
        <v>0.34542858239729901</v>
      </c>
      <c r="N15" s="3">
        <v>0.32028597934596797</v>
      </c>
      <c r="O15" s="3">
        <v>0.479734622861194</v>
      </c>
      <c r="P15" s="3">
        <v>0.49281926020599998</v>
      </c>
      <c r="Q15" s="3">
        <v>0.43147198723404201</v>
      </c>
      <c r="R15" s="3">
        <v>0.41897135868935897</v>
      </c>
      <c r="S15" s="3">
        <v>0.57958598666079497</v>
      </c>
      <c r="T15" s="3">
        <v>0.40830163929026297</v>
      </c>
      <c r="U15" s="1"/>
      <c r="V15" s="1"/>
      <c r="W15" s="3">
        <v>90</v>
      </c>
      <c r="X15">
        <v>93.585999999999999</v>
      </c>
      <c r="Y15">
        <v>93.585999999999999</v>
      </c>
      <c r="Z15" s="8">
        <v>0</v>
      </c>
      <c r="AA15">
        <v>53.003999999999998</v>
      </c>
      <c r="AB15">
        <v>53.003999999999998</v>
      </c>
      <c r="AC15" s="8">
        <v>0</v>
      </c>
      <c r="AD15">
        <v>306.12</v>
      </c>
      <c r="AE15">
        <v>306.12</v>
      </c>
      <c r="AF15" s="8">
        <v>0</v>
      </c>
      <c r="AG15">
        <v>98.418000000000006</v>
      </c>
      <c r="AH15">
        <v>98.418000000000006</v>
      </c>
      <c r="AI15" s="8">
        <v>0</v>
      </c>
      <c r="AJ15">
        <v>306.94499999999999</v>
      </c>
      <c r="AK15">
        <v>306.94499999999999</v>
      </c>
      <c r="AL15" s="8">
        <v>0</v>
      </c>
      <c r="AM15">
        <v>98.519000000000005</v>
      </c>
      <c r="AN15">
        <v>98.519000000000005</v>
      </c>
      <c r="AO15" s="8">
        <v>0</v>
      </c>
      <c r="AP15">
        <v>85.275999999999996</v>
      </c>
      <c r="AQ15">
        <v>85.275999999999996</v>
      </c>
      <c r="AR15" s="8">
        <v>0</v>
      </c>
      <c r="AS15">
        <v>49.811999999999998</v>
      </c>
      <c r="AT15">
        <v>49.811999999999998</v>
      </c>
      <c r="AU15" s="8">
        <v>0</v>
      </c>
      <c r="AV15">
        <v>256.11700000000002</v>
      </c>
      <c r="AW15">
        <v>256.11700000000002</v>
      </c>
      <c r="AX15" s="8">
        <v>0</v>
      </c>
      <c r="AY15">
        <v>87.855000000000004</v>
      </c>
      <c r="AZ15">
        <v>87.855000000000004</v>
      </c>
      <c r="BA15" s="8">
        <v>0</v>
      </c>
      <c r="BB15">
        <v>256.74099999999999</v>
      </c>
      <c r="BC15">
        <v>256.74099999999999</v>
      </c>
      <c r="BD15" s="8">
        <v>0</v>
      </c>
      <c r="BE15">
        <v>87.933999999999997</v>
      </c>
      <c r="BF15">
        <v>87.933999999999997</v>
      </c>
      <c r="BG15">
        <v>0</v>
      </c>
      <c r="BH15" s="1"/>
      <c r="BI15">
        <v>61.323999999999998</v>
      </c>
      <c r="BJ15">
        <v>61.323999999999998</v>
      </c>
      <c r="BK15">
        <v>0</v>
      </c>
      <c r="BL15" s="7">
        <v>37.436999999999998</v>
      </c>
      <c r="BM15">
        <v>37.436999999999998</v>
      </c>
      <c r="BN15" s="8">
        <v>0</v>
      </c>
      <c r="BO15" s="7">
        <v>131.822</v>
      </c>
      <c r="BP15">
        <v>131.822</v>
      </c>
      <c r="BQ15" s="8">
        <v>0</v>
      </c>
      <c r="BR15" s="7">
        <v>60.256999999999998</v>
      </c>
      <c r="BS15">
        <v>60.256999999999998</v>
      </c>
      <c r="BT15" s="8">
        <v>0</v>
      </c>
      <c r="BU15">
        <v>131.99799999999999</v>
      </c>
      <c r="BV15">
        <v>131.99799999999999</v>
      </c>
      <c r="BW15">
        <v>0</v>
      </c>
      <c r="BX15" s="7">
        <v>60.302999999999997</v>
      </c>
      <c r="BY15">
        <v>60.302999999999997</v>
      </c>
      <c r="BZ15" s="8">
        <v>0</v>
      </c>
      <c r="CA15">
        <v>52.414000000000001</v>
      </c>
      <c r="CB15">
        <v>52.414000000000001</v>
      </c>
      <c r="CC15">
        <v>0</v>
      </c>
      <c r="CD15" s="7">
        <v>33.777000000000001</v>
      </c>
      <c r="CE15">
        <v>33.777000000000001</v>
      </c>
      <c r="CF15" s="8">
        <v>0</v>
      </c>
      <c r="CG15" s="7">
        <v>104.93899999999999</v>
      </c>
      <c r="CH15">
        <v>104.93899999999999</v>
      </c>
      <c r="CI15" s="8">
        <v>0</v>
      </c>
      <c r="CJ15" s="7">
        <v>52.640999999999998</v>
      </c>
      <c r="CK15">
        <v>52.640999999999998</v>
      </c>
      <c r="CL15" s="8">
        <v>0</v>
      </c>
      <c r="CM15">
        <v>105.065</v>
      </c>
      <c r="CN15">
        <v>105.065</v>
      </c>
      <c r="CO15">
        <v>0</v>
      </c>
      <c r="CP15" s="7">
        <v>52.679000000000002</v>
      </c>
      <c r="CQ15">
        <v>52.679000000000002</v>
      </c>
      <c r="CR15" s="8">
        <v>0</v>
      </c>
      <c r="CS15" s="1"/>
      <c r="CT15">
        <v>32.715000000000003</v>
      </c>
      <c r="CU15">
        <v>32.715000000000003</v>
      </c>
      <c r="CV15">
        <v>0</v>
      </c>
      <c r="CW15" s="7">
        <v>21.574000000000002</v>
      </c>
      <c r="CX15">
        <v>21.574000000000002</v>
      </c>
      <c r="CY15" s="8">
        <v>0</v>
      </c>
      <c r="CZ15">
        <v>64.408000000000001</v>
      </c>
      <c r="DA15">
        <v>64.408000000000001</v>
      </c>
      <c r="DB15">
        <v>0</v>
      </c>
      <c r="DC15" s="7">
        <v>39.198</v>
      </c>
      <c r="DD15">
        <v>39.198</v>
      </c>
      <c r="DE15" s="8">
        <v>0</v>
      </c>
      <c r="DF15">
        <v>64.606999999999999</v>
      </c>
      <c r="DG15">
        <v>64.606999999999999</v>
      </c>
      <c r="DH15">
        <v>0</v>
      </c>
      <c r="DI15" s="7">
        <v>39.357999999999997</v>
      </c>
      <c r="DJ15">
        <v>39.357999999999997</v>
      </c>
      <c r="DK15" s="8">
        <v>0</v>
      </c>
      <c r="DL15">
        <v>29.312000000000001</v>
      </c>
      <c r="DM15">
        <v>29.312000000000001</v>
      </c>
      <c r="DN15">
        <v>0</v>
      </c>
      <c r="DO15" s="7">
        <v>20.059000000000001</v>
      </c>
      <c r="DP15">
        <v>20.059000000000001</v>
      </c>
      <c r="DQ15" s="8">
        <v>0</v>
      </c>
      <c r="DR15">
        <v>57.23</v>
      </c>
      <c r="DS15">
        <v>57.23</v>
      </c>
      <c r="DT15">
        <v>0</v>
      </c>
      <c r="DU15" s="7">
        <v>36.768000000000001</v>
      </c>
      <c r="DV15">
        <v>36.768000000000001</v>
      </c>
      <c r="DW15" s="8">
        <v>0</v>
      </c>
      <c r="DX15">
        <v>57.42</v>
      </c>
      <c r="DY15">
        <v>57.42</v>
      </c>
      <c r="DZ15">
        <v>0</v>
      </c>
      <c r="EA15" s="7">
        <v>36.926000000000002</v>
      </c>
      <c r="EB15">
        <v>36.926000000000002</v>
      </c>
      <c r="EC15" s="8">
        <v>0</v>
      </c>
      <c r="ED15" s="1"/>
    </row>
    <row r="16" spans="1:135" x14ac:dyDescent="0.2">
      <c r="A16" s="1"/>
      <c r="B16">
        <v>110</v>
      </c>
      <c r="C16" s="3">
        <v>3.2690321760000002E-6</v>
      </c>
      <c r="D16" s="3">
        <v>2.8372821369999998E-6</v>
      </c>
      <c r="E16" s="3">
        <v>3.505806801E-6</v>
      </c>
      <c r="F16" s="3">
        <v>4.0041739249999999E-6</v>
      </c>
      <c r="G16" s="3">
        <v>6.1671898390000001E-6</v>
      </c>
      <c r="H16" s="3">
        <v>6.60214305E-6</v>
      </c>
      <c r="I16" s="3">
        <v>5.8557456750000003E-6</v>
      </c>
      <c r="J16" s="3">
        <v>6.8264133960000003E-6</v>
      </c>
      <c r="K16" s="3">
        <v>8.1312940750000002E-6</v>
      </c>
      <c r="L16" s="3">
        <v>0.57472225911671204</v>
      </c>
      <c r="M16" s="3">
        <v>0.44458349582375001</v>
      </c>
      <c r="N16" s="3">
        <v>0.35048434396900802</v>
      </c>
      <c r="O16" s="3">
        <v>0.44159048891727598</v>
      </c>
      <c r="P16" s="3">
        <v>0.60733346857688897</v>
      </c>
      <c r="Q16" s="3">
        <v>0.41210388997347103</v>
      </c>
      <c r="R16" s="3">
        <v>0.56138143904497295</v>
      </c>
      <c r="S16" s="3">
        <v>0.586125012763685</v>
      </c>
      <c r="T16" s="3">
        <v>0.44388040649593602</v>
      </c>
      <c r="U16" s="1"/>
      <c r="V16" s="1"/>
      <c r="W16" s="3">
        <v>100</v>
      </c>
      <c r="X16">
        <v>89.037999999999997</v>
      </c>
      <c r="Y16">
        <v>89.037999999999997</v>
      </c>
      <c r="Z16" s="8">
        <v>0</v>
      </c>
      <c r="AA16">
        <v>50.124000000000002</v>
      </c>
      <c r="AB16">
        <v>50.124000000000002</v>
      </c>
      <c r="AC16" s="8">
        <v>0</v>
      </c>
      <c r="AD16">
        <v>249.55</v>
      </c>
      <c r="AE16">
        <v>249.55</v>
      </c>
      <c r="AF16" s="8">
        <v>0</v>
      </c>
      <c r="AG16">
        <v>87.905000000000001</v>
      </c>
      <c r="AH16">
        <v>87.905000000000001</v>
      </c>
      <c r="AI16" s="8">
        <v>0</v>
      </c>
      <c r="AJ16">
        <v>250.06700000000001</v>
      </c>
      <c r="AK16">
        <v>250.06700000000001</v>
      </c>
      <c r="AL16" s="8">
        <v>0</v>
      </c>
      <c r="AM16">
        <v>87.983999999999995</v>
      </c>
      <c r="AN16">
        <v>87.983999999999995</v>
      </c>
      <c r="AO16" s="8">
        <v>0</v>
      </c>
      <c r="AP16">
        <v>81.347999999999999</v>
      </c>
      <c r="AQ16">
        <v>81.347999999999999</v>
      </c>
      <c r="AR16" s="8">
        <v>0</v>
      </c>
      <c r="AS16">
        <v>47.258000000000003</v>
      </c>
      <c r="AT16">
        <v>47.258000000000003</v>
      </c>
      <c r="AU16" s="8">
        <v>0</v>
      </c>
      <c r="AV16">
        <v>212.64</v>
      </c>
      <c r="AW16">
        <v>212.64</v>
      </c>
      <c r="AX16" s="8">
        <v>0</v>
      </c>
      <c r="AY16">
        <v>79.331000000000003</v>
      </c>
      <c r="AZ16">
        <v>79.331000000000003</v>
      </c>
      <c r="BA16" s="8">
        <v>0</v>
      </c>
      <c r="BB16">
        <v>213.042</v>
      </c>
      <c r="BC16">
        <v>213.042</v>
      </c>
      <c r="BD16" s="8">
        <v>0</v>
      </c>
      <c r="BE16">
        <v>79.394000000000005</v>
      </c>
      <c r="BF16">
        <v>79.394000000000005</v>
      </c>
      <c r="BG16">
        <v>0</v>
      </c>
      <c r="BH16" s="1"/>
      <c r="BI16">
        <v>57.427999999999997</v>
      </c>
      <c r="BJ16">
        <v>57.427999999999997</v>
      </c>
      <c r="BK16">
        <v>0</v>
      </c>
      <c r="BL16" s="7">
        <v>34.831000000000003</v>
      </c>
      <c r="BM16">
        <v>34.831000000000003</v>
      </c>
      <c r="BN16" s="8">
        <v>0</v>
      </c>
      <c r="BO16" s="7">
        <v>112.886</v>
      </c>
      <c r="BP16">
        <v>112.886</v>
      </c>
      <c r="BQ16" s="8">
        <v>0</v>
      </c>
      <c r="BR16" s="7">
        <v>53.444000000000003</v>
      </c>
      <c r="BS16">
        <v>53.444000000000003</v>
      </c>
      <c r="BT16" s="8">
        <v>0</v>
      </c>
      <c r="BU16">
        <v>113.01</v>
      </c>
      <c r="BV16">
        <v>113.01</v>
      </c>
      <c r="BW16">
        <v>0</v>
      </c>
      <c r="BX16" s="7">
        <v>53.48</v>
      </c>
      <c r="BY16">
        <v>53.48</v>
      </c>
      <c r="BZ16" s="8">
        <v>0</v>
      </c>
      <c r="CA16">
        <v>49.484999999999999</v>
      </c>
      <c r="CB16">
        <v>49.484999999999999</v>
      </c>
      <c r="CC16">
        <v>0</v>
      </c>
      <c r="CD16" s="7">
        <v>31.646000000000001</v>
      </c>
      <c r="CE16">
        <v>31.646000000000001</v>
      </c>
      <c r="CF16" s="8">
        <v>0</v>
      </c>
      <c r="CG16" s="7">
        <v>91.85</v>
      </c>
      <c r="CH16">
        <v>91.85</v>
      </c>
      <c r="CI16" s="8">
        <v>0</v>
      </c>
      <c r="CJ16" s="7">
        <v>47.341999999999999</v>
      </c>
      <c r="CK16">
        <v>47.341999999999999</v>
      </c>
      <c r="CL16" s="8">
        <v>0</v>
      </c>
      <c r="CM16">
        <v>91.944000000000003</v>
      </c>
      <c r="CN16">
        <v>91.944000000000003</v>
      </c>
      <c r="CO16">
        <v>0</v>
      </c>
      <c r="CP16" s="7">
        <v>47.371000000000002</v>
      </c>
      <c r="CQ16">
        <v>47.371000000000002</v>
      </c>
      <c r="CR16" s="8">
        <v>0</v>
      </c>
      <c r="CS16" s="1"/>
      <c r="CT16">
        <v>30.318000000000001</v>
      </c>
      <c r="CU16">
        <v>30.318000000000001</v>
      </c>
      <c r="CV16">
        <v>0</v>
      </c>
      <c r="CW16" s="7">
        <v>19.895</v>
      </c>
      <c r="CX16">
        <v>19.895</v>
      </c>
      <c r="CY16" s="8">
        <v>0</v>
      </c>
      <c r="CZ16">
        <v>56.256</v>
      </c>
      <c r="DA16">
        <v>56.256</v>
      </c>
      <c r="DB16">
        <v>0</v>
      </c>
      <c r="DC16" s="7">
        <v>34.582999999999998</v>
      </c>
      <c r="DD16">
        <v>34.582999999999998</v>
      </c>
      <c r="DE16" s="8">
        <v>0</v>
      </c>
      <c r="DF16">
        <v>56.404000000000003</v>
      </c>
      <c r="DG16">
        <v>56.404000000000003</v>
      </c>
      <c r="DH16">
        <v>0</v>
      </c>
      <c r="DI16" s="7">
        <v>34.701999999999998</v>
      </c>
      <c r="DJ16">
        <v>34.701999999999998</v>
      </c>
      <c r="DK16" s="8">
        <v>0</v>
      </c>
      <c r="DL16">
        <v>27.384</v>
      </c>
      <c r="DM16">
        <v>27.384</v>
      </c>
      <c r="DN16">
        <v>0</v>
      </c>
      <c r="DO16" s="7">
        <v>18.609000000000002</v>
      </c>
      <c r="DP16">
        <v>18.609000000000002</v>
      </c>
      <c r="DQ16" s="8">
        <v>0</v>
      </c>
      <c r="DR16">
        <v>50.531999999999996</v>
      </c>
      <c r="DS16">
        <v>50.531999999999996</v>
      </c>
      <c r="DT16">
        <v>0</v>
      </c>
      <c r="DU16" s="7">
        <v>32.625999999999998</v>
      </c>
      <c r="DV16">
        <v>32.625999999999998</v>
      </c>
      <c r="DW16" s="8">
        <v>0</v>
      </c>
      <c r="DX16">
        <v>50.673999999999999</v>
      </c>
      <c r="DY16">
        <v>50.673999999999999</v>
      </c>
      <c r="DZ16">
        <v>0</v>
      </c>
      <c r="EA16" s="7">
        <v>32.743000000000002</v>
      </c>
      <c r="EB16">
        <v>32.743000000000002</v>
      </c>
      <c r="EC16" s="8">
        <v>0</v>
      </c>
      <c r="ED16" s="1"/>
    </row>
    <row r="17" spans="1:135" x14ac:dyDescent="0.2">
      <c r="A17" s="1"/>
      <c r="B17">
        <v>120</v>
      </c>
      <c r="C17" s="3">
        <v>4.3543779800000004E-6</v>
      </c>
      <c r="D17" s="3">
        <v>4.6954945690000003E-6</v>
      </c>
      <c r="E17" s="3">
        <v>4.0995825240000002E-6</v>
      </c>
      <c r="F17" s="3">
        <v>2.72243987E-6</v>
      </c>
      <c r="G17" s="3">
        <v>4.6767176569999996E-6</v>
      </c>
      <c r="H17" s="3">
        <v>6.5430725889999996E-6</v>
      </c>
      <c r="I17" s="3">
        <v>5.4913491480000002E-6</v>
      </c>
      <c r="J17" s="3">
        <v>7.333359007E-6</v>
      </c>
      <c r="K17" s="3">
        <v>9.7987930009999996E-6</v>
      </c>
      <c r="L17" s="3">
        <v>0.69957714058628895</v>
      </c>
      <c r="M17" s="3">
        <v>0.671846842932598</v>
      </c>
      <c r="N17" s="3">
        <v>0.37459975928085498</v>
      </c>
      <c r="O17" s="3">
        <v>0.28474063302514102</v>
      </c>
      <c r="P17" s="3">
        <v>0.43652131322366</v>
      </c>
      <c r="Q17" s="3">
        <v>0.38751470490135398</v>
      </c>
      <c r="R17" s="3">
        <v>0.50898764498437199</v>
      </c>
      <c r="S17" s="3">
        <v>0.608981834835845</v>
      </c>
      <c r="T17" s="3">
        <v>0.51733747706279198</v>
      </c>
      <c r="U17" s="1"/>
      <c r="V17" s="1"/>
      <c r="W17" s="3">
        <v>110</v>
      </c>
      <c r="X17">
        <v>84.385999999999996</v>
      </c>
      <c r="Y17">
        <v>84.385999999999996</v>
      </c>
      <c r="Z17" s="8">
        <v>0</v>
      </c>
      <c r="AA17">
        <v>47.334000000000003</v>
      </c>
      <c r="AB17">
        <v>47.334000000000003</v>
      </c>
      <c r="AC17" s="8">
        <v>0</v>
      </c>
      <c r="AD17">
        <v>210.06</v>
      </c>
      <c r="AE17">
        <v>210.06</v>
      </c>
      <c r="AF17" s="8">
        <v>0</v>
      </c>
      <c r="AG17">
        <v>79.194999999999993</v>
      </c>
      <c r="AH17">
        <v>79.194999999999993</v>
      </c>
      <c r="AI17" s="8">
        <v>0</v>
      </c>
      <c r="AJ17">
        <v>210.41300000000001</v>
      </c>
      <c r="AK17">
        <v>210.41300000000001</v>
      </c>
      <c r="AL17" s="8">
        <v>0</v>
      </c>
      <c r="AM17">
        <v>79.257999999999996</v>
      </c>
      <c r="AN17">
        <v>79.257999999999996</v>
      </c>
      <c r="AO17" s="8">
        <v>0</v>
      </c>
      <c r="AP17">
        <v>77.290000000000006</v>
      </c>
      <c r="AQ17">
        <v>77.290000000000006</v>
      </c>
      <c r="AR17" s="8">
        <v>0</v>
      </c>
      <c r="AS17">
        <v>44.755000000000003</v>
      </c>
      <c r="AT17">
        <v>44.755000000000003</v>
      </c>
      <c r="AU17" s="8">
        <v>0</v>
      </c>
      <c r="AV17">
        <v>181.45500000000001</v>
      </c>
      <c r="AW17">
        <v>181.45500000000001</v>
      </c>
      <c r="AX17" s="8">
        <v>0</v>
      </c>
      <c r="AY17">
        <v>72.102999999999994</v>
      </c>
      <c r="AZ17">
        <v>72.102999999999994</v>
      </c>
      <c r="BA17" s="8">
        <v>0</v>
      </c>
      <c r="BB17">
        <v>181.73400000000001</v>
      </c>
      <c r="BC17">
        <v>181.73400000000001</v>
      </c>
      <c r="BD17" s="8">
        <v>0</v>
      </c>
      <c r="BE17">
        <v>72.155000000000001</v>
      </c>
      <c r="BF17">
        <v>72.155000000000001</v>
      </c>
      <c r="BG17">
        <v>0</v>
      </c>
      <c r="BH17" s="1"/>
      <c r="BI17">
        <v>53.902999999999999</v>
      </c>
      <c r="BJ17">
        <v>53.902999999999999</v>
      </c>
      <c r="BK17">
        <v>0</v>
      </c>
      <c r="BL17" s="7">
        <v>32.517000000000003</v>
      </c>
      <c r="BM17">
        <v>32.517000000000003</v>
      </c>
      <c r="BN17" s="8">
        <v>0</v>
      </c>
      <c r="BO17" s="7">
        <v>98.879000000000005</v>
      </c>
      <c r="BP17">
        <v>98.879000000000005</v>
      </c>
      <c r="BQ17" s="8">
        <v>0</v>
      </c>
      <c r="BR17" s="7">
        <v>48.017000000000003</v>
      </c>
      <c r="BS17">
        <v>48.017000000000003</v>
      </c>
      <c r="BT17" s="8">
        <v>0</v>
      </c>
      <c r="BU17">
        <v>98.972999999999999</v>
      </c>
      <c r="BV17">
        <v>98.972999999999999</v>
      </c>
      <c r="BW17">
        <v>0</v>
      </c>
      <c r="BX17" s="7">
        <v>48.045000000000002</v>
      </c>
      <c r="BY17">
        <v>48.045000000000002</v>
      </c>
      <c r="BZ17" s="8">
        <v>0</v>
      </c>
      <c r="CA17">
        <v>46.79</v>
      </c>
      <c r="CB17">
        <v>46.79</v>
      </c>
      <c r="CC17">
        <v>0</v>
      </c>
      <c r="CD17" s="7">
        <v>29.722000000000001</v>
      </c>
      <c r="CE17">
        <v>29.722000000000001</v>
      </c>
      <c r="CF17" s="8">
        <v>0</v>
      </c>
      <c r="CG17" s="7">
        <v>81.853999999999999</v>
      </c>
      <c r="CH17">
        <v>81.853999999999999</v>
      </c>
      <c r="CI17" s="8">
        <v>0</v>
      </c>
      <c r="CJ17" s="7">
        <v>43.003</v>
      </c>
      <c r="CK17">
        <v>43.003</v>
      </c>
      <c r="CL17" s="8">
        <v>0</v>
      </c>
      <c r="CM17">
        <v>81.926000000000002</v>
      </c>
      <c r="CN17">
        <v>81.926000000000002</v>
      </c>
      <c r="CO17">
        <v>0</v>
      </c>
      <c r="CP17" s="7">
        <v>43.027000000000001</v>
      </c>
      <c r="CQ17">
        <v>43.027000000000001</v>
      </c>
      <c r="CR17" s="8">
        <v>0</v>
      </c>
      <c r="CS17" s="1"/>
      <c r="CT17">
        <v>28.254000000000001</v>
      </c>
      <c r="CU17">
        <v>28.254000000000001</v>
      </c>
      <c r="CV17">
        <v>0</v>
      </c>
      <c r="CW17" s="7">
        <v>18.463999999999999</v>
      </c>
      <c r="CX17">
        <v>18.463999999999999</v>
      </c>
      <c r="CY17" s="8">
        <v>0</v>
      </c>
      <c r="CZ17">
        <v>50</v>
      </c>
      <c r="DA17">
        <v>50</v>
      </c>
      <c r="DB17">
        <v>0</v>
      </c>
      <c r="DC17" s="7">
        <v>30.962</v>
      </c>
      <c r="DD17">
        <v>30.962</v>
      </c>
      <c r="DE17" s="8">
        <v>0</v>
      </c>
      <c r="DF17">
        <v>50.113999999999997</v>
      </c>
      <c r="DG17">
        <v>50.113999999999997</v>
      </c>
      <c r="DH17">
        <v>0</v>
      </c>
      <c r="DI17" s="7">
        <v>31.053999999999998</v>
      </c>
      <c r="DJ17">
        <v>31.053999999999998</v>
      </c>
      <c r="DK17" s="8">
        <v>0</v>
      </c>
      <c r="DL17">
        <v>25.696999999999999</v>
      </c>
      <c r="DM17">
        <v>25.696999999999999</v>
      </c>
      <c r="DN17">
        <v>0</v>
      </c>
      <c r="DO17" s="7">
        <v>17.359000000000002</v>
      </c>
      <c r="DP17">
        <v>17.359000000000002</v>
      </c>
      <c r="DQ17" s="8">
        <v>0</v>
      </c>
      <c r="DR17">
        <v>45.311999999999998</v>
      </c>
      <c r="DS17">
        <v>45.311999999999998</v>
      </c>
      <c r="DT17">
        <v>0</v>
      </c>
      <c r="DU17" s="7">
        <v>29.347999999999999</v>
      </c>
      <c r="DV17">
        <v>29.347999999999999</v>
      </c>
      <c r="DW17" s="8">
        <v>0</v>
      </c>
      <c r="DX17">
        <v>45.420999999999999</v>
      </c>
      <c r="DY17">
        <v>45.420999999999999</v>
      </c>
      <c r="DZ17">
        <v>0</v>
      </c>
      <c r="EA17" s="7">
        <v>29.439</v>
      </c>
      <c r="EB17">
        <v>29.439</v>
      </c>
      <c r="EC17" s="8">
        <v>0</v>
      </c>
      <c r="ED17" s="1"/>
    </row>
    <row r="18" spans="1:135" x14ac:dyDescent="0.2">
      <c r="A18" s="1"/>
      <c r="B18">
        <v>130</v>
      </c>
      <c r="C18" s="3">
        <v>2.3469877759999998E-6</v>
      </c>
      <c r="D18" s="3">
        <v>4.8815965689999997E-6</v>
      </c>
      <c r="E18" s="3">
        <v>4.6336192589999997E-6</v>
      </c>
      <c r="F18" s="3">
        <v>3.4875298340000001E-6</v>
      </c>
      <c r="G18" s="3">
        <v>5.6653416190000001E-6</v>
      </c>
      <c r="H18" s="3">
        <v>7.189863472E-6</v>
      </c>
      <c r="I18" s="3">
        <v>4.6882143610000002E-6</v>
      </c>
      <c r="J18" s="3">
        <v>7.539921845E-6</v>
      </c>
      <c r="K18" s="3">
        <v>1.0573121123E-5</v>
      </c>
      <c r="L18" s="3">
        <v>0.34914496941414302</v>
      </c>
      <c r="M18" s="3">
        <v>0.64722545693800704</v>
      </c>
      <c r="N18" s="3">
        <v>0.39271334256955498</v>
      </c>
      <c r="O18" s="3">
        <v>0.34964409915503197</v>
      </c>
      <c r="P18" s="3">
        <v>0.50765944358238801</v>
      </c>
      <c r="Q18" s="3">
        <v>0.40828498589982298</v>
      </c>
      <c r="R18" s="3">
        <v>0.42276899574197602</v>
      </c>
      <c r="S18" s="3">
        <v>0.60967509029700395</v>
      </c>
      <c r="T18" s="3">
        <v>0.54364873422270599</v>
      </c>
      <c r="U18" s="1"/>
      <c r="V18" s="1"/>
      <c r="W18" s="3">
        <v>120</v>
      </c>
      <c r="X18">
        <v>79.906000000000006</v>
      </c>
      <c r="Y18">
        <v>79.906000000000006</v>
      </c>
      <c r="Z18" s="8">
        <v>0</v>
      </c>
      <c r="AA18">
        <v>44.722000000000001</v>
      </c>
      <c r="AB18">
        <v>44.722000000000001</v>
      </c>
      <c r="AC18" s="8">
        <v>0</v>
      </c>
      <c r="AD18">
        <v>181.22</v>
      </c>
      <c r="AE18">
        <v>181.22</v>
      </c>
      <c r="AF18" s="8">
        <v>0</v>
      </c>
      <c r="AG18">
        <v>71.936000000000007</v>
      </c>
      <c r="AH18">
        <v>71.936000000000007</v>
      </c>
      <c r="AI18" s="8">
        <v>0</v>
      </c>
      <c r="AJ18">
        <v>181.476</v>
      </c>
      <c r="AK18">
        <v>181.476</v>
      </c>
      <c r="AL18" s="8">
        <v>0</v>
      </c>
      <c r="AM18">
        <v>71.986999999999995</v>
      </c>
      <c r="AN18">
        <v>71.986999999999995</v>
      </c>
      <c r="AO18" s="8">
        <v>0</v>
      </c>
      <c r="AP18">
        <v>73.358000000000004</v>
      </c>
      <c r="AQ18">
        <v>73.358000000000004</v>
      </c>
      <c r="AR18" s="8">
        <v>0</v>
      </c>
      <c r="AS18">
        <v>42.393000000000001</v>
      </c>
      <c r="AT18">
        <v>42.393000000000001</v>
      </c>
      <c r="AU18" s="8">
        <v>0</v>
      </c>
      <c r="AV18">
        <v>158.233</v>
      </c>
      <c r="AW18">
        <v>158.233</v>
      </c>
      <c r="AX18" s="8">
        <v>0</v>
      </c>
      <c r="AY18">
        <v>65.971000000000004</v>
      </c>
      <c r="AZ18">
        <v>65.971000000000004</v>
      </c>
      <c r="BA18" s="8">
        <v>0</v>
      </c>
      <c r="BB18">
        <v>158.43799999999999</v>
      </c>
      <c r="BC18">
        <v>158.43799999999999</v>
      </c>
      <c r="BD18" s="8">
        <v>0</v>
      </c>
      <c r="BE18">
        <v>66.013999999999996</v>
      </c>
      <c r="BF18">
        <v>66.013999999999996</v>
      </c>
      <c r="BG18">
        <v>0</v>
      </c>
      <c r="BH18" s="1"/>
      <c r="BI18">
        <v>50.741</v>
      </c>
      <c r="BJ18">
        <v>50.741</v>
      </c>
      <c r="BK18">
        <v>0</v>
      </c>
      <c r="BL18" s="7">
        <v>30.466000000000001</v>
      </c>
      <c r="BM18">
        <v>30.466000000000001</v>
      </c>
      <c r="BN18" s="8">
        <v>0</v>
      </c>
      <c r="BO18" s="7">
        <v>88.093000000000004</v>
      </c>
      <c r="BP18">
        <v>88.093000000000004</v>
      </c>
      <c r="BQ18" s="8">
        <v>0</v>
      </c>
      <c r="BR18" s="7">
        <v>43.597000000000001</v>
      </c>
      <c r="BS18">
        <v>43.597000000000001</v>
      </c>
      <c r="BT18" s="8">
        <v>0</v>
      </c>
      <c r="BU18">
        <v>88.167000000000002</v>
      </c>
      <c r="BV18">
        <v>88.167000000000002</v>
      </c>
      <c r="BW18">
        <v>0</v>
      </c>
      <c r="BX18" s="7">
        <v>43.62</v>
      </c>
      <c r="BY18">
        <v>43.62</v>
      </c>
      <c r="BZ18" s="8">
        <v>0</v>
      </c>
      <c r="CA18">
        <v>44.338000000000001</v>
      </c>
      <c r="CB18">
        <v>44.338000000000001</v>
      </c>
      <c r="CC18">
        <v>0</v>
      </c>
      <c r="CD18" s="7">
        <v>27.995999999999999</v>
      </c>
      <c r="CE18">
        <v>27.995999999999999</v>
      </c>
      <c r="CF18" s="8">
        <v>0</v>
      </c>
      <c r="CG18" s="7">
        <v>73.957999999999998</v>
      </c>
      <c r="CH18">
        <v>73.957999999999998</v>
      </c>
      <c r="CI18" s="8">
        <v>0</v>
      </c>
      <c r="CJ18" s="7">
        <v>39.396000000000001</v>
      </c>
      <c r="CK18">
        <v>39.396000000000001</v>
      </c>
      <c r="CL18" s="8">
        <v>0</v>
      </c>
      <c r="CM18">
        <v>74.015000000000001</v>
      </c>
      <c r="CN18">
        <v>74.015000000000001</v>
      </c>
      <c r="CO18">
        <v>0</v>
      </c>
      <c r="CP18" s="7">
        <v>39.415999999999997</v>
      </c>
      <c r="CQ18">
        <v>39.415999999999997</v>
      </c>
      <c r="CR18" s="8">
        <v>0</v>
      </c>
      <c r="CS18" s="1"/>
      <c r="CT18">
        <v>26.460999999999999</v>
      </c>
      <c r="CU18">
        <v>26.460999999999999</v>
      </c>
      <c r="CV18">
        <v>0</v>
      </c>
      <c r="CW18" s="7">
        <v>17.231999999999999</v>
      </c>
      <c r="CX18">
        <v>17.231999999999999</v>
      </c>
      <c r="CY18" s="8">
        <v>0</v>
      </c>
      <c r="CZ18">
        <v>45.042000000000002</v>
      </c>
      <c r="DA18">
        <v>45.042000000000002</v>
      </c>
      <c r="DB18">
        <v>0</v>
      </c>
      <c r="DC18" s="7">
        <v>28.045000000000002</v>
      </c>
      <c r="DD18">
        <v>28.045000000000002</v>
      </c>
      <c r="DE18" s="8">
        <v>0</v>
      </c>
      <c r="DF18">
        <v>45.133000000000003</v>
      </c>
      <c r="DG18">
        <v>45.133000000000003</v>
      </c>
      <c r="DH18">
        <v>0</v>
      </c>
      <c r="DI18" s="7">
        <v>28.119</v>
      </c>
      <c r="DJ18">
        <v>28.119</v>
      </c>
      <c r="DK18" s="8">
        <v>0</v>
      </c>
      <c r="DL18">
        <v>24.213000000000001</v>
      </c>
      <c r="DM18">
        <v>24.213000000000001</v>
      </c>
      <c r="DN18">
        <v>0</v>
      </c>
      <c r="DO18" s="7">
        <v>16.271999999999998</v>
      </c>
      <c r="DP18">
        <v>16.271999999999998</v>
      </c>
      <c r="DQ18" s="8">
        <v>0</v>
      </c>
      <c r="DR18">
        <v>41.121000000000002</v>
      </c>
      <c r="DS18">
        <v>41.121000000000002</v>
      </c>
      <c r="DT18">
        <v>0</v>
      </c>
      <c r="DU18" s="7">
        <v>26.687999999999999</v>
      </c>
      <c r="DV18">
        <v>26.687999999999999</v>
      </c>
      <c r="DW18" s="8">
        <v>0</v>
      </c>
      <c r="DX18">
        <v>41.209000000000003</v>
      </c>
      <c r="DY18">
        <v>41.209000000000003</v>
      </c>
      <c r="DZ18">
        <v>0</v>
      </c>
      <c r="EA18" s="7">
        <v>26.760999999999999</v>
      </c>
      <c r="EB18">
        <v>26.760999999999999</v>
      </c>
      <c r="EC18" s="8">
        <v>0</v>
      </c>
      <c r="ED18" s="1"/>
    </row>
    <row r="19" spans="1:135" x14ac:dyDescent="0.2">
      <c r="A19" s="1"/>
      <c r="B19">
        <v>140</v>
      </c>
      <c r="C19" s="3">
        <v>3.652350483E-6</v>
      </c>
      <c r="D19" s="3">
        <v>4.4561904120000002E-6</v>
      </c>
      <c r="E19" s="3">
        <v>5.1113893929999998E-6</v>
      </c>
      <c r="F19" s="3">
        <v>4.2670428559999996E-6</v>
      </c>
      <c r="G19" s="3">
        <v>5.7505266249999997E-6</v>
      </c>
      <c r="H19" s="3">
        <v>7.8255353669999999E-6</v>
      </c>
      <c r="I19" s="3">
        <v>4.6308213059999998E-6</v>
      </c>
      <c r="J19" s="3">
        <v>7.7635160039999995E-6</v>
      </c>
      <c r="K19" s="3">
        <v>9.04987101E-6</v>
      </c>
      <c r="L19" s="3">
        <v>0.50955210655996597</v>
      </c>
      <c r="M19" s="3">
        <v>0.55419467521699295</v>
      </c>
      <c r="N19" s="3">
        <v>0.40668087550369098</v>
      </c>
      <c r="O19" s="3">
        <v>0.41314173207582799</v>
      </c>
      <c r="P19" s="3">
        <v>0.497721959077291</v>
      </c>
      <c r="Q19" s="3">
        <v>0.42947118891725</v>
      </c>
      <c r="R19" s="3">
        <v>0.408406593734227</v>
      </c>
      <c r="S19" s="3">
        <v>0.61432953461971596</v>
      </c>
      <c r="T19" s="3">
        <v>0.45533080639149298</v>
      </c>
      <c r="U19" s="1"/>
      <c r="V19" s="1"/>
      <c r="W19" s="3">
        <v>130</v>
      </c>
      <c r="X19">
        <v>75.718000000000004</v>
      </c>
      <c r="Y19">
        <v>75.718000000000004</v>
      </c>
      <c r="Z19" s="8">
        <v>0</v>
      </c>
      <c r="AA19">
        <v>42.317999999999998</v>
      </c>
      <c r="AB19">
        <v>42.317999999999998</v>
      </c>
      <c r="AC19" s="8">
        <v>0</v>
      </c>
      <c r="AD19">
        <v>159.35900000000001</v>
      </c>
      <c r="AE19">
        <v>159.35900000000001</v>
      </c>
      <c r="AF19" s="8">
        <v>0</v>
      </c>
      <c r="AG19">
        <v>65.831999999999994</v>
      </c>
      <c r="AH19">
        <v>65.831999999999994</v>
      </c>
      <c r="AI19" s="8">
        <v>0</v>
      </c>
      <c r="AJ19">
        <v>159.553</v>
      </c>
      <c r="AK19">
        <v>159.553</v>
      </c>
      <c r="AL19" s="8">
        <v>0</v>
      </c>
      <c r="AM19">
        <v>65.875</v>
      </c>
      <c r="AN19">
        <v>65.875</v>
      </c>
      <c r="AO19" s="8">
        <v>0</v>
      </c>
      <c r="AP19">
        <v>69.668000000000006</v>
      </c>
      <c r="AQ19">
        <v>69.668000000000006</v>
      </c>
      <c r="AR19" s="8">
        <v>0</v>
      </c>
      <c r="AS19">
        <v>40.204999999999998</v>
      </c>
      <c r="AT19">
        <v>40.204999999999998</v>
      </c>
      <c r="AU19" s="8">
        <v>0</v>
      </c>
      <c r="AV19">
        <v>140.36799999999999</v>
      </c>
      <c r="AW19">
        <v>140.36799999999999</v>
      </c>
      <c r="AX19" s="8">
        <v>0</v>
      </c>
      <c r="AY19">
        <v>60.743000000000002</v>
      </c>
      <c r="AZ19">
        <v>60.743000000000002</v>
      </c>
      <c r="BA19" s="8">
        <v>0</v>
      </c>
      <c r="BB19">
        <v>140.52600000000001</v>
      </c>
      <c r="BC19">
        <v>140.52600000000001</v>
      </c>
      <c r="BD19" s="8">
        <v>0</v>
      </c>
      <c r="BE19">
        <v>60.779000000000003</v>
      </c>
      <c r="BF19">
        <v>60.779000000000003</v>
      </c>
      <c r="BG19">
        <v>0</v>
      </c>
      <c r="BH19" s="1"/>
      <c r="BI19">
        <v>47.911000000000001</v>
      </c>
      <c r="BJ19">
        <v>47.911000000000001</v>
      </c>
      <c r="BK19">
        <v>0</v>
      </c>
      <c r="BL19" s="7">
        <v>28.646999999999998</v>
      </c>
      <c r="BM19">
        <v>28.646999999999998</v>
      </c>
      <c r="BN19" s="8">
        <v>0</v>
      </c>
      <c r="BO19" s="7">
        <v>79.522999999999996</v>
      </c>
      <c r="BP19">
        <v>79.522999999999996</v>
      </c>
      <c r="BQ19" s="8">
        <v>0</v>
      </c>
      <c r="BR19" s="7">
        <v>39.932000000000002</v>
      </c>
      <c r="BS19">
        <v>39.932000000000002</v>
      </c>
      <c r="BT19" s="8">
        <v>0</v>
      </c>
      <c r="BU19">
        <v>79.581999999999994</v>
      </c>
      <c r="BV19">
        <v>79.581999999999994</v>
      </c>
      <c r="BW19">
        <v>0</v>
      </c>
      <c r="BX19" s="7">
        <v>39.951000000000001</v>
      </c>
      <c r="BY19">
        <v>39.951000000000001</v>
      </c>
      <c r="BZ19" s="8">
        <v>0</v>
      </c>
      <c r="CA19">
        <v>42.116</v>
      </c>
      <c r="CB19">
        <v>42.116</v>
      </c>
      <c r="CC19">
        <v>0</v>
      </c>
      <c r="CD19" s="7">
        <v>26.448</v>
      </c>
      <c r="CE19">
        <v>26.448</v>
      </c>
      <c r="CF19" s="8">
        <v>0</v>
      </c>
      <c r="CG19" s="7">
        <v>67.549000000000007</v>
      </c>
      <c r="CH19">
        <v>67.549000000000007</v>
      </c>
      <c r="CI19" s="8">
        <v>0</v>
      </c>
      <c r="CJ19" s="7">
        <v>36.351999999999997</v>
      </c>
      <c r="CK19">
        <v>36.351999999999997</v>
      </c>
      <c r="CL19" s="8">
        <v>0</v>
      </c>
      <c r="CM19">
        <v>67.596000000000004</v>
      </c>
      <c r="CN19">
        <v>67.596000000000004</v>
      </c>
      <c r="CO19">
        <v>0</v>
      </c>
      <c r="CP19" s="7">
        <v>36.369</v>
      </c>
      <c r="CQ19">
        <v>36.369</v>
      </c>
      <c r="CR19" s="8">
        <v>0</v>
      </c>
      <c r="CS19" s="1"/>
      <c r="CT19">
        <v>24.890999999999998</v>
      </c>
      <c r="CU19">
        <v>24.890999999999998</v>
      </c>
      <c r="CV19">
        <v>0</v>
      </c>
      <c r="CW19" s="7">
        <v>16.16</v>
      </c>
      <c r="CX19">
        <v>16.16</v>
      </c>
      <c r="CY19" s="8">
        <v>0</v>
      </c>
      <c r="CZ19">
        <v>41.011000000000003</v>
      </c>
      <c r="DA19">
        <v>41.011000000000003</v>
      </c>
      <c r="DB19">
        <v>0</v>
      </c>
      <c r="DC19" s="7">
        <v>25.643999999999998</v>
      </c>
      <c r="DD19">
        <v>25.643999999999998</v>
      </c>
      <c r="DE19" s="8">
        <v>0</v>
      </c>
      <c r="DF19">
        <v>41.085999999999999</v>
      </c>
      <c r="DG19">
        <v>41.085999999999999</v>
      </c>
      <c r="DH19">
        <v>0</v>
      </c>
      <c r="DI19" s="7">
        <v>25.704000000000001</v>
      </c>
      <c r="DJ19">
        <v>25.704000000000001</v>
      </c>
      <c r="DK19" s="8">
        <v>0</v>
      </c>
      <c r="DL19">
        <v>22.898</v>
      </c>
      <c r="DM19">
        <v>22.898</v>
      </c>
      <c r="DN19">
        <v>0</v>
      </c>
      <c r="DO19" s="7">
        <v>15.318</v>
      </c>
      <c r="DP19">
        <v>15.318</v>
      </c>
      <c r="DQ19" s="8">
        <v>0</v>
      </c>
      <c r="DR19">
        <v>37.677999999999997</v>
      </c>
      <c r="DS19">
        <v>37.677999999999997</v>
      </c>
      <c r="DT19">
        <v>0</v>
      </c>
      <c r="DU19" s="7">
        <v>24.486000000000001</v>
      </c>
      <c r="DV19">
        <v>24.486000000000001</v>
      </c>
      <c r="DW19" s="8">
        <v>0</v>
      </c>
      <c r="DX19">
        <v>37.749000000000002</v>
      </c>
      <c r="DY19">
        <v>37.749000000000002</v>
      </c>
      <c r="DZ19">
        <v>0</v>
      </c>
      <c r="EA19" s="7">
        <v>24.545000000000002</v>
      </c>
      <c r="EB19">
        <v>24.545000000000002</v>
      </c>
      <c r="EC19" s="8">
        <v>0</v>
      </c>
      <c r="ED19" s="1"/>
    </row>
    <row r="20" spans="1:135" x14ac:dyDescent="0.2">
      <c r="A20" s="1"/>
      <c r="B20">
        <v>150</v>
      </c>
      <c r="C20" s="3">
        <v>4.5307327060000004E-6</v>
      </c>
      <c r="D20" s="3">
        <v>5.121509539E-6</v>
      </c>
      <c r="E20" s="3">
        <v>5.564202953E-6</v>
      </c>
      <c r="F20" s="3">
        <v>5.1145260340000001E-6</v>
      </c>
      <c r="G20" s="3">
        <v>5.4396512999999997E-6</v>
      </c>
      <c r="H20" s="3">
        <v>8.5249629279999999E-6</v>
      </c>
      <c r="I20" s="3">
        <v>5.5406125320000001E-6</v>
      </c>
      <c r="J20" s="3">
        <v>7.9853677529999992E-6</v>
      </c>
      <c r="K20" s="3">
        <v>1.0083886355000001E-5</v>
      </c>
      <c r="L20" s="3">
        <v>0.59884031423679596</v>
      </c>
      <c r="M20" s="3">
        <v>0.60322697030852701</v>
      </c>
      <c r="N20" s="3">
        <v>0.41972870258881201</v>
      </c>
      <c r="O20" s="3">
        <v>0.481509656645569</v>
      </c>
      <c r="P20" s="3">
        <v>0.45730886614647198</v>
      </c>
      <c r="Q20" s="3">
        <v>0.45497632022937501</v>
      </c>
      <c r="R20" s="3">
        <v>0.47969999737944602</v>
      </c>
      <c r="S20" s="3">
        <v>0.62075255557403097</v>
      </c>
      <c r="T20" s="3">
        <v>0.49784843738842</v>
      </c>
      <c r="U20" s="1"/>
      <c r="V20" s="1"/>
      <c r="W20" s="3">
        <v>140</v>
      </c>
      <c r="X20">
        <v>71.861999999999995</v>
      </c>
      <c r="Y20">
        <v>71.861999999999995</v>
      </c>
      <c r="Z20" s="8">
        <v>0</v>
      </c>
      <c r="AA20">
        <v>40.122999999999998</v>
      </c>
      <c r="AB20">
        <v>40.122999999999998</v>
      </c>
      <c r="AC20" s="8">
        <v>0</v>
      </c>
      <c r="AD20">
        <v>142.27199999999999</v>
      </c>
      <c r="AE20">
        <v>142.27199999999999</v>
      </c>
      <c r="AF20" s="8">
        <v>0</v>
      </c>
      <c r="AG20">
        <v>60.65</v>
      </c>
      <c r="AH20">
        <v>60.65</v>
      </c>
      <c r="AI20" s="8">
        <v>0</v>
      </c>
      <c r="AJ20">
        <v>142.42500000000001</v>
      </c>
      <c r="AK20">
        <v>142.42500000000001</v>
      </c>
      <c r="AL20" s="8">
        <v>0</v>
      </c>
      <c r="AM20">
        <v>60.686</v>
      </c>
      <c r="AN20">
        <v>60.686</v>
      </c>
      <c r="AO20" s="8">
        <v>0</v>
      </c>
      <c r="AP20">
        <v>66.260999999999996</v>
      </c>
      <c r="AQ20">
        <v>66.260999999999996</v>
      </c>
      <c r="AR20" s="8">
        <v>0</v>
      </c>
      <c r="AS20">
        <v>38.197000000000003</v>
      </c>
      <c r="AT20">
        <v>38.197000000000003</v>
      </c>
      <c r="AU20" s="8">
        <v>0</v>
      </c>
      <c r="AV20">
        <v>126.24</v>
      </c>
      <c r="AW20">
        <v>126.24</v>
      </c>
      <c r="AX20" s="8">
        <v>0</v>
      </c>
      <c r="AY20">
        <v>56.253</v>
      </c>
      <c r="AZ20">
        <v>56.253</v>
      </c>
      <c r="BA20" s="8">
        <v>0</v>
      </c>
      <c r="BB20">
        <v>126.36499999999999</v>
      </c>
      <c r="BC20">
        <v>126.36499999999999</v>
      </c>
      <c r="BD20" s="8">
        <v>0</v>
      </c>
      <c r="BE20">
        <v>56.283999999999999</v>
      </c>
      <c r="BF20">
        <v>56.283999999999999</v>
      </c>
      <c r="BG20">
        <v>0</v>
      </c>
      <c r="BH20" s="1"/>
      <c r="BI20">
        <v>45.372</v>
      </c>
      <c r="BJ20">
        <v>45.372</v>
      </c>
      <c r="BK20">
        <v>0</v>
      </c>
      <c r="BL20" s="7">
        <v>27.027000000000001</v>
      </c>
      <c r="BM20">
        <v>27.027000000000001</v>
      </c>
      <c r="BN20" s="8">
        <v>0</v>
      </c>
      <c r="BO20" s="7">
        <v>72.542000000000002</v>
      </c>
      <c r="BP20">
        <v>72.542000000000002</v>
      </c>
      <c r="BQ20" s="8">
        <v>0</v>
      </c>
      <c r="BR20" s="7">
        <v>36.843000000000004</v>
      </c>
      <c r="BS20">
        <v>36.843000000000004</v>
      </c>
      <c r="BT20" s="8">
        <v>0</v>
      </c>
      <c r="BU20">
        <v>72.59</v>
      </c>
      <c r="BV20">
        <v>72.59</v>
      </c>
      <c r="BW20">
        <v>0</v>
      </c>
      <c r="BX20" s="7">
        <v>36.859000000000002</v>
      </c>
      <c r="BY20">
        <v>36.859000000000002</v>
      </c>
      <c r="BZ20" s="8">
        <v>0</v>
      </c>
      <c r="CA20">
        <v>40.103000000000002</v>
      </c>
      <c r="CB20">
        <v>40.103000000000002</v>
      </c>
      <c r="CC20">
        <v>0</v>
      </c>
      <c r="CD20" s="7">
        <v>25.056999999999999</v>
      </c>
      <c r="CE20">
        <v>25.056999999999999</v>
      </c>
      <c r="CF20" s="8">
        <v>0</v>
      </c>
      <c r="CG20" s="7">
        <v>62.235999999999997</v>
      </c>
      <c r="CH20">
        <v>62.235999999999997</v>
      </c>
      <c r="CI20" s="8">
        <v>0</v>
      </c>
      <c r="CJ20" s="7">
        <v>33.752000000000002</v>
      </c>
      <c r="CK20">
        <v>33.752000000000002</v>
      </c>
      <c r="CL20" s="8">
        <v>0</v>
      </c>
      <c r="CM20">
        <v>62.274999999999999</v>
      </c>
      <c r="CN20">
        <v>62.274999999999999</v>
      </c>
      <c r="CO20">
        <v>0</v>
      </c>
      <c r="CP20" s="7">
        <v>33.767000000000003</v>
      </c>
      <c r="CQ20">
        <v>33.767000000000003</v>
      </c>
      <c r="CR20" s="8">
        <v>0</v>
      </c>
      <c r="CS20" s="1"/>
      <c r="CT20">
        <v>23.506</v>
      </c>
      <c r="CU20">
        <v>23.506</v>
      </c>
      <c r="CV20">
        <v>0</v>
      </c>
      <c r="CW20" s="7">
        <v>15.22</v>
      </c>
      <c r="CX20">
        <v>15.22</v>
      </c>
      <c r="CY20" s="8">
        <v>0</v>
      </c>
      <c r="CZ20">
        <v>37.667000000000002</v>
      </c>
      <c r="DA20">
        <v>37.667000000000002</v>
      </c>
      <c r="DB20">
        <v>0</v>
      </c>
      <c r="DC20" s="7">
        <v>23.631</v>
      </c>
      <c r="DD20">
        <v>23.631</v>
      </c>
      <c r="DE20" s="8">
        <v>0</v>
      </c>
      <c r="DF20">
        <v>37.728999999999999</v>
      </c>
      <c r="DG20">
        <v>37.728999999999999</v>
      </c>
      <c r="DH20">
        <v>0</v>
      </c>
      <c r="DI20" s="7">
        <v>23.681000000000001</v>
      </c>
      <c r="DJ20">
        <v>23.681000000000001</v>
      </c>
      <c r="DK20" s="8">
        <v>0</v>
      </c>
      <c r="DL20">
        <v>21.725999999999999</v>
      </c>
      <c r="DM20">
        <v>21.725999999999999</v>
      </c>
      <c r="DN20">
        <v>0</v>
      </c>
      <c r="DO20" s="7">
        <v>14.476000000000001</v>
      </c>
      <c r="DP20">
        <v>14.476000000000001</v>
      </c>
      <c r="DQ20" s="8">
        <v>0</v>
      </c>
      <c r="DR20">
        <v>34.792999999999999</v>
      </c>
      <c r="DS20">
        <v>34.792999999999999</v>
      </c>
      <c r="DT20">
        <v>0</v>
      </c>
      <c r="DU20" s="7">
        <v>22.63</v>
      </c>
      <c r="DV20">
        <v>22.63</v>
      </c>
      <c r="DW20" s="8">
        <v>0</v>
      </c>
      <c r="DX20">
        <v>34.853000000000002</v>
      </c>
      <c r="DY20">
        <v>34.853000000000002</v>
      </c>
      <c r="DZ20">
        <v>0</v>
      </c>
      <c r="EA20" s="7">
        <v>22.68</v>
      </c>
      <c r="EB20">
        <v>22.68</v>
      </c>
      <c r="EC20" s="8">
        <v>0</v>
      </c>
      <c r="ED20" s="1"/>
    </row>
    <row r="21" spans="1:135" x14ac:dyDescent="0.2">
      <c r="A21" s="1"/>
      <c r="B21">
        <v>160</v>
      </c>
      <c r="C21" s="3">
        <v>2.761539619E-6</v>
      </c>
      <c r="D21" s="3">
        <v>4.0400131700000004E-6</v>
      </c>
      <c r="E21" s="3">
        <v>5.9620548840000003E-6</v>
      </c>
      <c r="F21" s="3">
        <v>5.3771858329999997E-6</v>
      </c>
      <c r="G21" s="3">
        <v>5.8162814540000004E-6</v>
      </c>
      <c r="H21" s="3">
        <v>8.6397957050000007E-6</v>
      </c>
      <c r="I21" s="3">
        <v>5.8460201439999998E-6</v>
      </c>
      <c r="J21" s="3">
        <v>8.1645547960000005E-6</v>
      </c>
      <c r="K21" s="3">
        <v>1.1571662548000001E-5</v>
      </c>
      <c r="L21" s="3">
        <v>0.348515584546849</v>
      </c>
      <c r="M21" s="3">
        <v>0.45455980017168202</v>
      </c>
      <c r="N21" s="3">
        <v>0.42986779391746399</v>
      </c>
      <c r="O21" s="3">
        <v>0.49450489381186602</v>
      </c>
      <c r="P21" s="3">
        <v>0.47875325677137398</v>
      </c>
      <c r="Q21" s="3">
        <v>0.45058734367035502</v>
      </c>
      <c r="R21" s="3">
        <v>0.498425409306125</v>
      </c>
      <c r="S21" s="3">
        <v>0.625349845536876</v>
      </c>
      <c r="T21" s="3">
        <v>0.56311946590948403</v>
      </c>
      <c r="U21" s="1"/>
      <c r="V21" s="1"/>
      <c r="W21" s="3">
        <v>150</v>
      </c>
      <c r="X21">
        <v>68.337000000000003</v>
      </c>
      <c r="Y21">
        <v>68.337000000000003</v>
      </c>
      <c r="Z21" s="8">
        <v>0</v>
      </c>
      <c r="AA21">
        <v>38.122999999999998</v>
      </c>
      <c r="AB21">
        <v>38.122999999999998</v>
      </c>
      <c r="AC21" s="8">
        <v>0</v>
      </c>
      <c r="AD21">
        <v>128.572</v>
      </c>
      <c r="AE21">
        <v>128.572</v>
      </c>
      <c r="AF21" s="8">
        <v>0</v>
      </c>
      <c r="AG21">
        <v>56.207999999999998</v>
      </c>
      <c r="AH21">
        <v>56.207999999999998</v>
      </c>
      <c r="AI21" s="8">
        <v>0</v>
      </c>
      <c r="AJ21">
        <v>128.696</v>
      </c>
      <c r="AK21">
        <v>128.696</v>
      </c>
      <c r="AL21" s="8">
        <v>0</v>
      </c>
      <c r="AM21">
        <v>56.238999999999997</v>
      </c>
      <c r="AN21">
        <v>56.238999999999997</v>
      </c>
      <c r="AO21" s="8">
        <v>0</v>
      </c>
      <c r="AP21">
        <v>63.139000000000003</v>
      </c>
      <c r="AQ21">
        <v>63.139000000000003</v>
      </c>
      <c r="AR21" s="8">
        <v>0</v>
      </c>
      <c r="AS21">
        <v>36.360999999999997</v>
      </c>
      <c r="AT21">
        <v>36.360999999999997</v>
      </c>
      <c r="AU21" s="8">
        <v>0</v>
      </c>
      <c r="AV21">
        <v>114.803</v>
      </c>
      <c r="AW21">
        <v>114.803</v>
      </c>
      <c r="AX21" s="8">
        <v>0</v>
      </c>
      <c r="AY21">
        <v>52.368000000000002</v>
      </c>
      <c r="AZ21">
        <v>52.368000000000002</v>
      </c>
      <c r="BA21" s="8">
        <v>0</v>
      </c>
      <c r="BB21">
        <v>114.90600000000001</v>
      </c>
      <c r="BC21">
        <v>114.90600000000001</v>
      </c>
      <c r="BD21" s="8">
        <v>0</v>
      </c>
      <c r="BE21">
        <v>52.395000000000003</v>
      </c>
      <c r="BF21">
        <v>52.395000000000003</v>
      </c>
      <c r="BG21">
        <v>0</v>
      </c>
      <c r="BH21" s="1"/>
      <c r="BI21">
        <v>43.088000000000001</v>
      </c>
      <c r="BJ21">
        <v>43.088000000000001</v>
      </c>
      <c r="BK21">
        <v>0</v>
      </c>
      <c r="BL21" s="7">
        <v>25.579000000000001</v>
      </c>
      <c r="BM21">
        <v>25.579000000000001</v>
      </c>
      <c r="BN21" s="8">
        <v>0</v>
      </c>
      <c r="BO21" s="7">
        <v>66.738</v>
      </c>
      <c r="BP21">
        <v>66.738</v>
      </c>
      <c r="BQ21" s="8">
        <v>0</v>
      </c>
      <c r="BR21" s="7">
        <v>34.204999999999998</v>
      </c>
      <c r="BS21">
        <v>34.204999999999998</v>
      </c>
      <c r="BT21" s="8">
        <v>0</v>
      </c>
      <c r="BU21">
        <v>66.778000000000006</v>
      </c>
      <c r="BV21">
        <v>66.778000000000006</v>
      </c>
      <c r="BW21">
        <v>0</v>
      </c>
      <c r="BX21" s="7">
        <v>34.219000000000001</v>
      </c>
      <c r="BY21">
        <v>34.219000000000001</v>
      </c>
      <c r="BZ21" s="8">
        <v>0</v>
      </c>
      <c r="CA21">
        <v>38.274000000000001</v>
      </c>
      <c r="CB21">
        <v>38.274000000000001</v>
      </c>
      <c r="CC21">
        <v>0</v>
      </c>
      <c r="CD21" s="7">
        <v>23.803000000000001</v>
      </c>
      <c r="CE21">
        <v>23.803000000000001</v>
      </c>
      <c r="CF21" s="8">
        <v>0</v>
      </c>
      <c r="CG21" s="7">
        <v>57.750999999999998</v>
      </c>
      <c r="CH21">
        <v>57.750999999999998</v>
      </c>
      <c r="CI21" s="8">
        <v>0</v>
      </c>
      <c r="CJ21" s="7">
        <v>31.504999999999999</v>
      </c>
      <c r="CK21">
        <v>31.504999999999999</v>
      </c>
      <c r="CL21" s="8">
        <v>0</v>
      </c>
      <c r="CM21">
        <v>57.784999999999997</v>
      </c>
      <c r="CN21">
        <v>57.784999999999997</v>
      </c>
      <c r="CO21">
        <v>0</v>
      </c>
      <c r="CP21" s="7">
        <v>31.518000000000001</v>
      </c>
      <c r="CQ21">
        <v>31.518000000000001</v>
      </c>
      <c r="CR21" s="8">
        <v>0</v>
      </c>
      <c r="CS21" s="1"/>
      <c r="CT21">
        <v>22.274000000000001</v>
      </c>
      <c r="CU21">
        <v>22.274000000000001</v>
      </c>
      <c r="CV21">
        <v>0</v>
      </c>
      <c r="CW21" s="7">
        <v>14.388999999999999</v>
      </c>
      <c r="CX21">
        <v>14.388999999999999</v>
      </c>
      <c r="CY21" s="8">
        <v>0</v>
      </c>
      <c r="CZ21">
        <v>34.844999999999999</v>
      </c>
      <c r="DA21">
        <v>34.844999999999999</v>
      </c>
      <c r="DB21">
        <v>0</v>
      </c>
      <c r="DC21" s="7">
        <v>21.919</v>
      </c>
      <c r="DD21">
        <v>21.919</v>
      </c>
      <c r="DE21" s="8">
        <v>0</v>
      </c>
      <c r="DF21">
        <v>34.896999999999998</v>
      </c>
      <c r="DG21">
        <v>34.896999999999998</v>
      </c>
      <c r="DH21">
        <v>0</v>
      </c>
      <c r="DI21" s="7">
        <v>21.960999999999999</v>
      </c>
      <c r="DJ21">
        <v>21.960999999999999</v>
      </c>
      <c r="DK21" s="8">
        <v>0</v>
      </c>
      <c r="DL21">
        <v>20.675000000000001</v>
      </c>
      <c r="DM21">
        <v>20.675000000000001</v>
      </c>
      <c r="DN21">
        <v>0</v>
      </c>
      <c r="DO21" s="7">
        <v>13.725</v>
      </c>
      <c r="DP21">
        <v>13.725</v>
      </c>
      <c r="DQ21" s="8">
        <v>0</v>
      </c>
      <c r="DR21">
        <v>32.338999999999999</v>
      </c>
      <c r="DS21">
        <v>32.338999999999999</v>
      </c>
      <c r="DT21">
        <v>0</v>
      </c>
      <c r="DU21" s="7">
        <v>21.044</v>
      </c>
      <c r="DV21">
        <v>21.044</v>
      </c>
      <c r="DW21" s="8">
        <v>0</v>
      </c>
      <c r="DX21">
        <v>32.39</v>
      </c>
      <c r="DY21">
        <v>32.39</v>
      </c>
      <c r="DZ21">
        <v>0</v>
      </c>
      <c r="EA21" s="7">
        <v>21.085999999999999</v>
      </c>
      <c r="EB21">
        <v>21.085999999999999</v>
      </c>
      <c r="EC21" s="8">
        <v>0</v>
      </c>
      <c r="ED21" s="1"/>
    </row>
    <row r="22" spans="1:135" x14ac:dyDescent="0.2">
      <c r="A22" s="1"/>
      <c r="B22">
        <v>170</v>
      </c>
      <c r="C22" s="3">
        <v>2.949405315E-6</v>
      </c>
      <c r="D22" s="3">
        <v>4.313383189E-6</v>
      </c>
      <c r="E22" s="3">
        <v>6.3016933350000002E-6</v>
      </c>
      <c r="F22" s="3">
        <v>5.4625738099999997E-6</v>
      </c>
      <c r="G22" s="3">
        <v>6.6382873289999997E-6</v>
      </c>
      <c r="H22" s="3">
        <v>8.0806483839999995E-6</v>
      </c>
      <c r="I22" s="3">
        <v>5.6099935879999997E-6</v>
      </c>
      <c r="J22" s="3">
        <v>8.3301363650000006E-6</v>
      </c>
      <c r="K22" s="3">
        <v>1.0613023853999999E-5</v>
      </c>
      <c r="L22" s="3">
        <v>0.35760880799568501</v>
      </c>
      <c r="M22" s="3">
        <v>0.46604789177481198</v>
      </c>
      <c r="N22" s="3">
        <v>0.43718604931914101</v>
      </c>
      <c r="O22" s="3">
        <v>0.49251464241005599</v>
      </c>
      <c r="P22" s="3">
        <v>0.53522162688555697</v>
      </c>
      <c r="Q22" s="3">
        <v>0.41326801566417098</v>
      </c>
      <c r="R22" s="3">
        <v>0.47209053907376902</v>
      </c>
      <c r="S22" s="3">
        <v>0.63012374301227203</v>
      </c>
      <c r="T22" s="3">
        <v>0.50980750785266704</v>
      </c>
      <c r="U22" s="1"/>
      <c r="V22" s="1"/>
      <c r="W22" s="3">
        <v>160</v>
      </c>
      <c r="X22">
        <v>65.123000000000005</v>
      </c>
      <c r="Y22">
        <v>65.123000000000005</v>
      </c>
      <c r="Z22" s="8">
        <v>0</v>
      </c>
      <c r="AA22">
        <v>36.302</v>
      </c>
      <c r="AB22">
        <v>36.302</v>
      </c>
      <c r="AC22" s="8">
        <v>0</v>
      </c>
      <c r="AD22">
        <v>117.35299999999999</v>
      </c>
      <c r="AE22">
        <v>117.35299999999999</v>
      </c>
      <c r="AF22" s="8">
        <v>0</v>
      </c>
      <c r="AG22">
        <v>52.365000000000002</v>
      </c>
      <c r="AH22">
        <v>52.365000000000002</v>
      </c>
      <c r="AI22" s="8">
        <v>0</v>
      </c>
      <c r="AJ22">
        <v>117.455</v>
      </c>
      <c r="AK22">
        <v>117.455</v>
      </c>
      <c r="AL22" s="8">
        <v>0</v>
      </c>
      <c r="AM22">
        <v>52.390999999999998</v>
      </c>
      <c r="AN22">
        <v>52.390999999999998</v>
      </c>
      <c r="AO22" s="8">
        <v>0</v>
      </c>
      <c r="AP22">
        <v>60.286000000000001</v>
      </c>
      <c r="AQ22">
        <v>60.286000000000001</v>
      </c>
      <c r="AR22" s="8">
        <v>0</v>
      </c>
      <c r="AS22">
        <v>34.683</v>
      </c>
      <c r="AT22">
        <v>34.683</v>
      </c>
      <c r="AU22" s="8">
        <v>0</v>
      </c>
      <c r="AV22">
        <v>105.361</v>
      </c>
      <c r="AW22">
        <v>105.361</v>
      </c>
      <c r="AX22" s="8">
        <v>0</v>
      </c>
      <c r="AY22">
        <v>48.98</v>
      </c>
      <c r="AZ22">
        <v>48.98</v>
      </c>
      <c r="BA22" s="8">
        <v>0</v>
      </c>
      <c r="BB22">
        <v>105.447</v>
      </c>
      <c r="BC22">
        <v>105.447</v>
      </c>
      <c r="BD22" s="8">
        <v>0</v>
      </c>
      <c r="BE22">
        <v>49.003</v>
      </c>
      <c r="BF22">
        <v>49.003</v>
      </c>
      <c r="BG22">
        <v>0</v>
      </c>
      <c r="BH22" s="1"/>
      <c r="BI22">
        <v>41.024999999999999</v>
      </c>
      <c r="BJ22">
        <v>41.024999999999999</v>
      </c>
      <c r="BK22">
        <v>0</v>
      </c>
      <c r="BL22" s="7">
        <v>24.277000000000001</v>
      </c>
      <c r="BM22">
        <v>24.277000000000001</v>
      </c>
      <c r="BN22" s="8">
        <v>0</v>
      </c>
      <c r="BO22" s="7">
        <v>61.831000000000003</v>
      </c>
      <c r="BP22">
        <v>61.831000000000003</v>
      </c>
      <c r="BQ22" s="8">
        <v>0</v>
      </c>
      <c r="BR22" s="7">
        <v>31.925000000000001</v>
      </c>
      <c r="BS22">
        <v>31.925000000000001</v>
      </c>
      <c r="BT22" s="8">
        <v>0</v>
      </c>
      <c r="BU22">
        <v>61.866</v>
      </c>
      <c r="BV22">
        <v>61.866</v>
      </c>
      <c r="BW22">
        <v>0</v>
      </c>
      <c r="BX22" s="7">
        <v>31.937000000000001</v>
      </c>
      <c r="BY22">
        <v>31.937000000000001</v>
      </c>
      <c r="BZ22" s="8">
        <v>0</v>
      </c>
      <c r="CA22">
        <v>36.607999999999997</v>
      </c>
      <c r="CB22">
        <v>36.607999999999997</v>
      </c>
      <c r="CC22">
        <v>0</v>
      </c>
      <c r="CD22" s="7">
        <v>22.667999999999999</v>
      </c>
      <c r="CE22">
        <v>22.667999999999999</v>
      </c>
      <c r="CF22" s="8">
        <v>0</v>
      </c>
      <c r="CG22" s="7">
        <v>53.91</v>
      </c>
      <c r="CH22">
        <v>53.91</v>
      </c>
      <c r="CI22" s="8">
        <v>0</v>
      </c>
      <c r="CJ22" s="7">
        <v>29.544</v>
      </c>
      <c r="CK22">
        <v>29.544</v>
      </c>
      <c r="CL22" s="8">
        <v>0</v>
      </c>
      <c r="CM22">
        <v>53.939</v>
      </c>
      <c r="CN22">
        <v>53.939</v>
      </c>
      <c r="CO22">
        <v>0</v>
      </c>
      <c r="CP22" s="7">
        <v>29.555</v>
      </c>
      <c r="CQ22">
        <v>29.555</v>
      </c>
      <c r="CR22" s="8">
        <v>0</v>
      </c>
      <c r="CS22" s="1"/>
      <c r="CT22">
        <v>21.170999999999999</v>
      </c>
      <c r="CU22">
        <v>21.170999999999999</v>
      </c>
      <c r="CV22">
        <v>0</v>
      </c>
      <c r="CW22" s="7">
        <v>13.648</v>
      </c>
      <c r="CX22">
        <v>13.648</v>
      </c>
      <c r="CY22" s="8">
        <v>0</v>
      </c>
      <c r="CZ22">
        <v>32.429000000000002</v>
      </c>
      <c r="DA22">
        <v>32.429000000000002</v>
      </c>
      <c r="DB22">
        <v>0</v>
      </c>
      <c r="DC22" s="7">
        <v>20.443000000000001</v>
      </c>
      <c r="DD22">
        <v>20.443000000000001</v>
      </c>
      <c r="DE22" s="8">
        <v>0</v>
      </c>
      <c r="DF22">
        <v>32.473999999999997</v>
      </c>
      <c r="DG22">
        <v>32.473999999999997</v>
      </c>
      <c r="DH22">
        <v>0</v>
      </c>
      <c r="DI22" s="7">
        <v>20.48</v>
      </c>
      <c r="DJ22">
        <v>20.48</v>
      </c>
      <c r="DK22" s="8">
        <v>0</v>
      </c>
      <c r="DL22">
        <v>19.725999999999999</v>
      </c>
      <c r="DM22">
        <v>19.725999999999999</v>
      </c>
      <c r="DN22">
        <v>0</v>
      </c>
      <c r="DO22" s="7">
        <v>13.053000000000001</v>
      </c>
      <c r="DP22">
        <v>13.053000000000001</v>
      </c>
      <c r="DQ22" s="8">
        <v>0</v>
      </c>
      <c r="DR22">
        <v>30.222000000000001</v>
      </c>
      <c r="DS22">
        <v>30.222000000000001</v>
      </c>
      <c r="DT22">
        <v>0</v>
      </c>
      <c r="DU22" s="7">
        <v>19.672000000000001</v>
      </c>
      <c r="DV22">
        <v>19.672000000000001</v>
      </c>
      <c r="DW22" s="8">
        <v>0</v>
      </c>
      <c r="DX22">
        <v>30.265999999999998</v>
      </c>
      <c r="DY22">
        <v>30.265999999999998</v>
      </c>
      <c r="DZ22">
        <v>0</v>
      </c>
      <c r="EA22" s="7">
        <v>19.707999999999998</v>
      </c>
      <c r="EB22">
        <v>19.707999999999998</v>
      </c>
      <c r="EC22" s="8">
        <v>0</v>
      </c>
      <c r="ED22" s="1"/>
    </row>
    <row r="23" spans="1:135" x14ac:dyDescent="0.2">
      <c r="A23" s="1"/>
      <c r="B23">
        <v>180</v>
      </c>
      <c r="C23" s="3">
        <v>4.2185363929999997E-6</v>
      </c>
      <c r="D23" s="3">
        <v>7.5178578709999998E-6</v>
      </c>
      <c r="E23" s="3">
        <v>6.6137699759999996E-6</v>
      </c>
      <c r="F23" s="3">
        <v>5.0473847379999996E-6</v>
      </c>
      <c r="G23" s="3">
        <v>6.7239622180000003E-6</v>
      </c>
      <c r="H23" s="3">
        <v>8.9184358550000002E-6</v>
      </c>
      <c r="I23" s="3">
        <v>5.8823905360000002E-6</v>
      </c>
      <c r="J23" s="3">
        <v>8.4550287370000007E-6</v>
      </c>
      <c r="K23" s="3">
        <v>1.0997209141E-5</v>
      </c>
      <c r="L23" s="3">
        <v>0.49435908131488898</v>
      </c>
      <c r="M23" s="3">
        <v>0.78544221714454199</v>
      </c>
      <c r="N23" s="3">
        <v>0.44393437748577902</v>
      </c>
      <c r="O23" s="3">
        <v>0.44736298458484802</v>
      </c>
      <c r="P23" s="3">
        <v>0.53292344355657995</v>
      </c>
      <c r="Q23" s="3">
        <v>0.448535846448677</v>
      </c>
      <c r="R23" s="3">
        <v>0.48938304912312602</v>
      </c>
      <c r="S23" s="3">
        <v>0.63281504114199605</v>
      </c>
      <c r="T23" s="3">
        <v>0.52251499995472195</v>
      </c>
      <c r="U23" s="1"/>
      <c r="V23" s="1"/>
      <c r="W23" s="3">
        <v>170</v>
      </c>
      <c r="X23">
        <v>62.191000000000003</v>
      </c>
      <c r="Y23">
        <v>62.191000000000003</v>
      </c>
      <c r="Z23" s="8">
        <v>0</v>
      </c>
      <c r="AA23">
        <v>34.642000000000003</v>
      </c>
      <c r="AB23">
        <v>34.642000000000003</v>
      </c>
      <c r="AC23" s="8">
        <v>0</v>
      </c>
      <c r="AD23">
        <v>108</v>
      </c>
      <c r="AE23">
        <v>108</v>
      </c>
      <c r="AF23" s="8">
        <v>0</v>
      </c>
      <c r="AG23">
        <v>49.01</v>
      </c>
      <c r="AH23">
        <v>49.01</v>
      </c>
      <c r="AI23" s="8">
        <v>0</v>
      </c>
      <c r="AJ23">
        <v>108.086</v>
      </c>
      <c r="AK23">
        <v>108.086</v>
      </c>
      <c r="AL23" s="8">
        <v>0</v>
      </c>
      <c r="AM23">
        <v>49.033999999999999</v>
      </c>
      <c r="AN23">
        <v>49.033999999999999</v>
      </c>
      <c r="AO23" s="8">
        <v>0</v>
      </c>
      <c r="AP23">
        <v>57.680999999999997</v>
      </c>
      <c r="AQ23">
        <v>57.680999999999997</v>
      </c>
      <c r="AR23" s="8">
        <v>0</v>
      </c>
      <c r="AS23">
        <v>33.149000000000001</v>
      </c>
      <c r="AT23">
        <v>33.149000000000001</v>
      </c>
      <c r="AU23" s="8">
        <v>0</v>
      </c>
      <c r="AV23">
        <v>97.433999999999997</v>
      </c>
      <c r="AW23">
        <v>97.433999999999997</v>
      </c>
      <c r="AX23" s="8">
        <v>0</v>
      </c>
      <c r="AY23">
        <v>46.002000000000002</v>
      </c>
      <c r="AZ23">
        <v>46.002000000000002</v>
      </c>
      <c r="BA23" s="8">
        <v>0</v>
      </c>
      <c r="BB23">
        <v>97.507000000000005</v>
      </c>
      <c r="BC23">
        <v>97.507000000000005</v>
      </c>
      <c r="BD23" s="8">
        <v>0</v>
      </c>
      <c r="BE23">
        <v>46.023000000000003</v>
      </c>
      <c r="BF23">
        <v>46.023000000000003</v>
      </c>
      <c r="BG23">
        <v>0</v>
      </c>
      <c r="BH23" s="1"/>
      <c r="BI23">
        <v>39.152999999999999</v>
      </c>
      <c r="BJ23">
        <v>39.152999999999999</v>
      </c>
      <c r="BK23">
        <v>0</v>
      </c>
      <c r="BL23" s="7">
        <v>23.100999999999999</v>
      </c>
      <c r="BM23">
        <v>23.100999999999999</v>
      </c>
      <c r="BN23" s="8">
        <v>0</v>
      </c>
      <c r="BO23" s="7">
        <v>57.625</v>
      </c>
      <c r="BP23">
        <v>57.625</v>
      </c>
      <c r="BQ23" s="8">
        <v>0</v>
      </c>
      <c r="BR23" s="7">
        <v>29.934000000000001</v>
      </c>
      <c r="BS23">
        <v>29.934000000000001</v>
      </c>
      <c r="BT23" s="8">
        <v>0</v>
      </c>
      <c r="BU23">
        <v>57.655000000000001</v>
      </c>
      <c r="BV23">
        <v>57.655000000000001</v>
      </c>
      <c r="BW23">
        <v>0</v>
      </c>
      <c r="BX23" s="7">
        <v>29.945</v>
      </c>
      <c r="BY23">
        <v>29.945</v>
      </c>
      <c r="BZ23" s="8">
        <v>0</v>
      </c>
      <c r="CA23">
        <v>35.085000000000001</v>
      </c>
      <c r="CB23">
        <v>35.085000000000001</v>
      </c>
      <c r="CC23">
        <v>0</v>
      </c>
      <c r="CD23" s="7">
        <v>21.637</v>
      </c>
      <c r="CE23">
        <v>21.637</v>
      </c>
      <c r="CF23" s="8">
        <v>0</v>
      </c>
      <c r="CG23" s="7">
        <v>50.579000000000001</v>
      </c>
      <c r="CH23">
        <v>50.579000000000001</v>
      </c>
      <c r="CI23" s="8">
        <v>0</v>
      </c>
      <c r="CJ23" s="7">
        <v>27.818000000000001</v>
      </c>
      <c r="CK23">
        <v>27.818000000000001</v>
      </c>
      <c r="CL23" s="8">
        <v>0</v>
      </c>
      <c r="CM23">
        <v>50.603999999999999</v>
      </c>
      <c r="CN23">
        <v>50.603999999999999</v>
      </c>
      <c r="CO23">
        <v>0</v>
      </c>
      <c r="CP23" s="7">
        <v>27.827000000000002</v>
      </c>
      <c r="CQ23">
        <v>27.827000000000002</v>
      </c>
      <c r="CR23" s="8">
        <v>0</v>
      </c>
      <c r="CS23" s="1"/>
      <c r="CT23">
        <v>20.178000000000001</v>
      </c>
      <c r="CU23">
        <v>20.178000000000001</v>
      </c>
      <c r="CV23">
        <v>0</v>
      </c>
      <c r="CW23" s="7">
        <v>12.983000000000001</v>
      </c>
      <c r="CX23">
        <v>12.983000000000001</v>
      </c>
      <c r="CY23" s="8">
        <v>0</v>
      </c>
      <c r="CZ23">
        <v>30.335999999999999</v>
      </c>
      <c r="DA23">
        <v>30.335999999999999</v>
      </c>
      <c r="DB23">
        <v>0</v>
      </c>
      <c r="DC23" s="7">
        <v>19.158000000000001</v>
      </c>
      <c r="DD23">
        <v>19.158000000000001</v>
      </c>
      <c r="DE23" s="8">
        <v>0</v>
      </c>
      <c r="DF23">
        <v>30.375</v>
      </c>
      <c r="DG23">
        <v>30.375</v>
      </c>
      <c r="DH23">
        <v>0</v>
      </c>
      <c r="DI23" s="7">
        <v>19.190000000000001</v>
      </c>
      <c r="DJ23">
        <v>19.190000000000001</v>
      </c>
      <c r="DK23" s="8">
        <v>0</v>
      </c>
      <c r="DL23">
        <v>18.864999999999998</v>
      </c>
      <c r="DM23">
        <v>18.864999999999998</v>
      </c>
      <c r="DN23">
        <v>0</v>
      </c>
      <c r="DO23" s="7">
        <v>12.446999999999999</v>
      </c>
      <c r="DP23">
        <v>12.446999999999999</v>
      </c>
      <c r="DQ23" s="8">
        <v>0</v>
      </c>
      <c r="DR23">
        <v>28.376999999999999</v>
      </c>
      <c r="DS23">
        <v>28.376999999999999</v>
      </c>
      <c r="DT23">
        <v>0</v>
      </c>
      <c r="DU23" s="7">
        <v>18.472999999999999</v>
      </c>
      <c r="DV23">
        <v>18.472999999999999</v>
      </c>
      <c r="DW23" s="8">
        <v>0</v>
      </c>
      <c r="DX23">
        <v>28.414999999999999</v>
      </c>
      <c r="DY23">
        <v>28.414999999999999</v>
      </c>
      <c r="DZ23">
        <v>0</v>
      </c>
      <c r="EA23" s="7">
        <v>18.504000000000001</v>
      </c>
      <c r="EB23">
        <v>18.504000000000001</v>
      </c>
      <c r="EC23" s="8">
        <v>0</v>
      </c>
      <c r="ED23" s="1"/>
    </row>
    <row r="24" spans="1:135" x14ac:dyDescent="0.2">
      <c r="A24" s="1"/>
      <c r="B24">
        <v>190</v>
      </c>
      <c r="C24" s="3">
        <v>4.5925543840000004E-6</v>
      </c>
      <c r="D24" s="3">
        <v>6.2636184790000003E-6</v>
      </c>
      <c r="E24" s="3">
        <v>6.8956117089999997E-6</v>
      </c>
      <c r="F24" s="3">
        <v>5.4850576410000002E-6</v>
      </c>
      <c r="G24" s="3">
        <v>6.6402603459999997E-6</v>
      </c>
      <c r="H24" s="3">
        <v>9.6967615960000001E-6</v>
      </c>
      <c r="I24" s="3">
        <v>6.1394092139999998E-6</v>
      </c>
      <c r="J24" s="3">
        <v>8.5743176639999999E-6</v>
      </c>
      <c r="K24" s="3">
        <v>1.1194370541E-5</v>
      </c>
      <c r="L24" s="3">
        <v>0.52252857330607805</v>
      </c>
      <c r="M24" s="3">
        <v>0.63588905720102895</v>
      </c>
      <c r="N24" s="3">
        <v>0.44987882953369301</v>
      </c>
      <c r="O24" s="3">
        <v>0.47918313122011102</v>
      </c>
      <c r="P24" s="3">
        <v>0.51872423462282902</v>
      </c>
      <c r="Q24" s="3">
        <v>0.48105818411743001</v>
      </c>
      <c r="R24" s="3">
        <v>0.50577878050621805</v>
      </c>
      <c r="S24" s="3">
        <v>0.63591134657871495</v>
      </c>
      <c r="T24" s="3">
        <v>0.52686172605578596</v>
      </c>
      <c r="U24" s="1"/>
      <c r="V24" s="1"/>
      <c r="W24" s="3">
        <v>180</v>
      </c>
      <c r="X24">
        <v>59.512999999999998</v>
      </c>
      <c r="Y24">
        <v>59.512999999999998</v>
      </c>
      <c r="Z24" s="8">
        <v>0</v>
      </c>
      <c r="AA24">
        <v>33.122999999999998</v>
      </c>
      <c r="AB24">
        <v>33.122999999999998</v>
      </c>
      <c r="AC24" s="8">
        <v>0</v>
      </c>
      <c r="AD24">
        <v>100.08199999999999</v>
      </c>
      <c r="AE24">
        <v>100.08199999999999</v>
      </c>
      <c r="AF24" s="8">
        <v>0</v>
      </c>
      <c r="AG24">
        <v>46.06</v>
      </c>
      <c r="AH24">
        <v>46.06</v>
      </c>
      <c r="AI24" s="8">
        <v>0</v>
      </c>
      <c r="AJ24">
        <v>100.155</v>
      </c>
      <c r="AK24">
        <v>100.155</v>
      </c>
      <c r="AL24" s="8">
        <v>0</v>
      </c>
      <c r="AM24">
        <v>46.08</v>
      </c>
      <c r="AN24">
        <v>46.08</v>
      </c>
      <c r="AO24" s="8">
        <v>0</v>
      </c>
      <c r="AP24">
        <v>55.295999999999999</v>
      </c>
      <c r="AQ24">
        <v>55.295999999999999</v>
      </c>
      <c r="AR24" s="8">
        <v>0</v>
      </c>
      <c r="AS24">
        <v>31.742999999999999</v>
      </c>
      <c r="AT24">
        <v>31.742999999999999</v>
      </c>
      <c r="AU24" s="8">
        <v>0</v>
      </c>
      <c r="AV24">
        <v>90.682000000000002</v>
      </c>
      <c r="AW24">
        <v>90.682000000000002</v>
      </c>
      <c r="AX24" s="8">
        <v>0</v>
      </c>
      <c r="AY24">
        <v>43.368000000000002</v>
      </c>
      <c r="AZ24">
        <v>43.368000000000002</v>
      </c>
      <c r="BA24" s="8">
        <v>0</v>
      </c>
      <c r="BB24">
        <v>90.745000000000005</v>
      </c>
      <c r="BC24">
        <v>90.745000000000005</v>
      </c>
      <c r="BD24" s="8">
        <v>0</v>
      </c>
      <c r="BE24">
        <v>43.384999999999998</v>
      </c>
      <c r="BF24">
        <v>43.384999999999998</v>
      </c>
      <c r="BG24">
        <v>0</v>
      </c>
      <c r="BH24" s="1"/>
      <c r="BI24">
        <v>37.448</v>
      </c>
      <c r="BJ24">
        <v>37.448</v>
      </c>
      <c r="BK24">
        <v>0</v>
      </c>
      <c r="BL24" s="7">
        <v>22.035</v>
      </c>
      <c r="BM24">
        <v>22.035</v>
      </c>
      <c r="BN24" s="8">
        <v>0</v>
      </c>
      <c r="BO24" s="7">
        <v>53.976999999999997</v>
      </c>
      <c r="BP24">
        <v>53.976999999999997</v>
      </c>
      <c r="BQ24" s="8">
        <v>0</v>
      </c>
      <c r="BR24" s="7">
        <v>28.181000000000001</v>
      </c>
      <c r="BS24">
        <v>28.181000000000001</v>
      </c>
      <c r="BT24" s="8">
        <v>0</v>
      </c>
      <c r="BU24">
        <v>54.003</v>
      </c>
      <c r="BV24">
        <v>54.003</v>
      </c>
      <c r="BW24">
        <v>0</v>
      </c>
      <c r="BX24" s="7">
        <v>28.19</v>
      </c>
      <c r="BY24">
        <v>28.19</v>
      </c>
      <c r="BZ24" s="8">
        <v>0</v>
      </c>
      <c r="CA24">
        <v>33.688000000000002</v>
      </c>
      <c r="CB24">
        <v>33.688000000000002</v>
      </c>
      <c r="CC24">
        <v>0</v>
      </c>
      <c r="CD24" s="7">
        <v>20.696000000000002</v>
      </c>
      <c r="CE24">
        <v>20.696000000000002</v>
      </c>
      <c r="CF24" s="8">
        <v>0</v>
      </c>
      <c r="CG24" s="7">
        <v>47.66</v>
      </c>
      <c r="CH24">
        <v>47.66</v>
      </c>
      <c r="CI24" s="8">
        <v>0</v>
      </c>
      <c r="CJ24" s="7">
        <v>26.285</v>
      </c>
      <c r="CK24">
        <v>26.285</v>
      </c>
      <c r="CL24" s="8">
        <v>0</v>
      </c>
      <c r="CM24">
        <v>47.682000000000002</v>
      </c>
      <c r="CN24">
        <v>47.682000000000002</v>
      </c>
      <c r="CO24">
        <v>0</v>
      </c>
      <c r="CP24" s="7">
        <v>26.294</v>
      </c>
      <c r="CQ24">
        <v>26.294</v>
      </c>
      <c r="CR24" s="8">
        <v>0</v>
      </c>
      <c r="CS24" s="1"/>
      <c r="CT24">
        <v>19.279</v>
      </c>
      <c r="CU24">
        <v>19.279</v>
      </c>
      <c r="CV24">
        <v>0</v>
      </c>
      <c r="CW24" s="7">
        <v>12.384</v>
      </c>
      <c r="CX24">
        <v>12.384</v>
      </c>
      <c r="CY24" s="8">
        <v>0</v>
      </c>
      <c r="CZ24">
        <v>28.504000000000001</v>
      </c>
      <c r="DA24">
        <v>28.504000000000001</v>
      </c>
      <c r="DB24">
        <v>0</v>
      </c>
      <c r="DC24" s="7">
        <v>18.027999999999999</v>
      </c>
      <c r="DD24">
        <v>18.027999999999999</v>
      </c>
      <c r="DE24" s="8">
        <v>0</v>
      </c>
      <c r="DF24">
        <v>28.539000000000001</v>
      </c>
      <c r="DG24">
        <v>28.539000000000001</v>
      </c>
      <c r="DH24">
        <v>0</v>
      </c>
      <c r="DI24" s="7">
        <v>18.056000000000001</v>
      </c>
      <c r="DJ24">
        <v>18.056000000000001</v>
      </c>
      <c r="DK24" s="8">
        <v>0</v>
      </c>
      <c r="DL24">
        <v>18.079999999999998</v>
      </c>
      <c r="DM24">
        <v>18.079999999999998</v>
      </c>
      <c r="DN24">
        <v>0</v>
      </c>
      <c r="DO24" s="7">
        <v>11.897</v>
      </c>
      <c r="DP24">
        <v>11.897</v>
      </c>
      <c r="DQ24" s="8">
        <v>0</v>
      </c>
      <c r="DR24">
        <v>26.751999999999999</v>
      </c>
      <c r="DS24">
        <v>26.751999999999999</v>
      </c>
      <c r="DT24">
        <v>0</v>
      </c>
      <c r="DU24" s="7">
        <v>17.414999999999999</v>
      </c>
      <c r="DV24">
        <v>17.414999999999999</v>
      </c>
      <c r="DW24" s="8">
        <v>0</v>
      </c>
      <c r="DX24">
        <v>26.786000000000001</v>
      </c>
      <c r="DY24">
        <v>26.786000000000001</v>
      </c>
      <c r="DZ24">
        <v>0</v>
      </c>
      <c r="EA24" s="7">
        <v>17.443000000000001</v>
      </c>
      <c r="EB24">
        <v>17.443000000000001</v>
      </c>
      <c r="EC24" s="8">
        <v>0</v>
      </c>
      <c r="ED24" s="1"/>
    </row>
    <row r="25" spans="1:135" x14ac:dyDescent="0.2">
      <c r="A25" s="1"/>
      <c r="B25">
        <v>200</v>
      </c>
      <c r="C25" s="3">
        <v>4.8394921180000004E-6</v>
      </c>
      <c r="D25" s="3">
        <v>7.1972890860000001E-6</v>
      </c>
      <c r="E25" s="3">
        <v>7.139390182E-6</v>
      </c>
      <c r="F25" s="3">
        <v>5.1343058309999998E-6</v>
      </c>
      <c r="G25" s="3">
        <v>8.6912384970000001E-6</v>
      </c>
      <c r="H25" s="3">
        <v>9.3911321140000008E-6</v>
      </c>
      <c r="I25" s="3">
        <v>5.7549009400000002E-6</v>
      </c>
      <c r="J25" s="3">
        <v>8.6854652660000001E-6</v>
      </c>
      <c r="K25" s="3">
        <v>1.1084278559E-5</v>
      </c>
      <c r="L25" s="3">
        <v>0.53676842883481402</v>
      </c>
      <c r="M25" s="3">
        <v>0.71205186268180698</v>
      </c>
      <c r="N25" s="3">
        <v>0.45446401927313901</v>
      </c>
      <c r="O25" s="3">
        <v>0.44313572399391898</v>
      </c>
      <c r="P25" s="3">
        <v>0.67188442328173803</v>
      </c>
      <c r="Q25" s="3">
        <v>0.46035974160670101</v>
      </c>
      <c r="R25" s="3">
        <v>0.47000498923406298</v>
      </c>
      <c r="S25" s="3">
        <v>0.639086227118008</v>
      </c>
      <c r="T25" s="3">
        <v>0.51741136224491202</v>
      </c>
      <c r="U25" s="1"/>
      <c r="V25" s="1"/>
      <c r="W25" s="3">
        <v>190</v>
      </c>
      <c r="X25">
        <v>57.061</v>
      </c>
      <c r="Y25">
        <v>57.061</v>
      </c>
      <c r="Z25" s="8">
        <v>0</v>
      </c>
      <c r="AA25">
        <v>31.731999999999999</v>
      </c>
      <c r="AB25">
        <v>31.731999999999999</v>
      </c>
      <c r="AC25" s="8">
        <v>0</v>
      </c>
      <c r="AD25">
        <v>93.290999999999997</v>
      </c>
      <c r="AE25">
        <v>93.290999999999997</v>
      </c>
      <c r="AF25" s="8">
        <v>0</v>
      </c>
      <c r="AG25">
        <v>43.445999999999998</v>
      </c>
      <c r="AH25">
        <v>43.445999999999998</v>
      </c>
      <c r="AI25" s="8">
        <v>0</v>
      </c>
      <c r="AJ25">
        <v>93.355000000000004</v>
      </c>
      <c r="AK25">
        <v>93.355000000000004</v>
      </c>
      <c r="AL25" s="8">
        <v>0</v>
      </c>
      <c r="AM25">
        <v>43.463999999999999</v>
      </c>
      <c r="AN25">
        <v>43.463999999999999</v>
      </c>
      <c r="AO25" s="8">
        <v>0</v>
      </c>
      <c r="AP25">
        <v>53.11</v>
      </c>
      <c r="AQ25">
        <v>53.11</v>
      </c>
      <c r="AR25" s="8">
        <v>0</v>
      </c>
      <c r="AS25">
        <v>30.451000000000001</v>
      </c>
      <c r="AT25">
        <v>30.451000000000001</v>
      </c>
      <c r="AU25" s="8">
        <v>0</v>
      </c>
      <c r="AV25">
        <v>84.86</v>
      </c>
      <c r="AW25">
        <v>84.86</v>
      </c>
      <c r="AX25" s="8">
        <v>0</v>
      </c>
      <c r="AY25">
        <v>41.021000000000001</v>
      </c>
      <c r="AZ25">
        <v>41.021000000000001</v>
      </c>
      <c r="BA25" s="8">
        <v>0</v>
      </c>
      <c r="BB25">
        <v>84.914000000000001</v>
      </c>
      <c r="BC25">
        <v>84.914000000000001</v>
      </c>
      <c r="BD25" s="8">
        <v>0</v>
      </c>
      <c r="BE25">
        <v>41.036999999999999</v>
      </c>
      <c r="BF25">
        <v>41.036999999999999</v>
      </c>
      <c r="BG25">
        <v>0</v>
      </c>
      <c r="BH25" s="1"/>
      <c r="BI25">
        <v>35.889000000000003</v>
      </c>
      <c r="BJ25">
        <v>35.889000000000003</v>
      </c>
      <c r="BK25">
        <v>0</v>
      </c>
      <c r="BL25" s="7">
        <v>21.064</v>
      </c>
      <c r="BM25">
        <v>21.064</v>
      </c>
      <c r="BN25" s="8">
        <v>0</v>
      </c>
      <c r="BO25" s="7">
        <v>50.78</v>
      </c>
      <c r="BP25">
        <v>50.78</v>
      </c>
      <c r="BQ25" s="8">
        <v>0</v>
      </c>
      <c r="BR25" s="7">
        <v>26.625</v>
      </c>
      <c r="BS25">
        <v>26.625</v>
      </c>
      <c r="BT25" s="8">
        <v>0</v>
      </c>
      <c r="BU25">
        <v>50.802999999999997</v>
      </c>
      <c r="BV25">
        <v>50.802999999999997</v>
      </c>
      <c r="BW25">
        <v>0</v>
      </c>
      <c r="BX25" s="7">
        <v>26.632999999999999</v>
      </c>
      <c r="BY25">
        <v>26.632999999999999</v>
      </c>
      <c r="BZ25" s="8">
        <v>0</v>
      </c>
      <c r="CA25">
        <v>32.402000000000001</v>
      </c>
      <c r="CB25">
        <v>32.402000000000001</v>
      </c>
      <c r="CC25">
        <v>0</v>
      </c>
      <c r="CD25" s="7">
        <v>19.835000000000001</v>
      </c>
      <c r="CE25">
        <v>19.835000000000001</v>
      </c>
      <c r="CF25" s="8">
        <v>0</v>
      </c>
      <c r="CG25" s="7">
        <v>45.078000000000003</v>
      </c>
      <c r="CH25">
        <v>45.078000000000003</v>
      </c>
      <c r="CI25" s="8">
        <v>0</v>
      </c>
      <c r="CJ25" s="7">
        <v>24.916</v>
      </c>
      <c r="CK25">
        <v>24.916</v>
      </c>
      <c r="CL25" s="8">
        <v>0</v>
      </c>
      <c r="CM25">
        <v>45.097000000000001</v>
      </c>
      <c r="CN25">
        <v>45.097000000000001</v>
      </c>
      <c r="CO25">
        <v>0</v>
      </c>
      <c r="CP25" s="7">
        <v>24.923999999999999</v>
      </c>
      <c r="CQ25">
        <v>24.923999999999999</v>
      </c>
      <c r="CR25" s="8">
        <v>0</v>
      </c>
      <c r="CS25" s="1"/>
      <c r="CT25">
        <v>18.46</v>
      </c>
      <c r="CU25">
        <v>18.46</v>
      </c>
      <c r="CV25">
        <v>0</v>
      </c>
      <c r="CW25" s="7">
        <v>11.84</v>
      </c>
      <c r="CX25">
        <v>11.84</v>
      </c>
      <c r="CY25" s="8">
        <v>0</v>
      </c>
      <c r="CZ25">
        <v>26.887</v>
      </c>
      <c r="DA25">
        <v>26.887</v>
      </c>
      <c r="DB25">
        <v>0</v>
      </c>
      <c r="DC25" s="7">
        <v>17.027000000000001</v>
      </c>
      <c r="DD25">
        <v>17.027000000000001</v>
      </c>
      <c r="DE25" s="8">
        <v>0</v>
      </c>
      <c r="DF25">
        <v>26.917000000000002</v>
      </c>
      <c r="DG25">
        <v>26.917000000000002</v>
      </c>
      <c r="DH25">
        <v>0</v>
      </c>
      <c r="DI25" s="7">
        <v>17.050999999999998</v>
      </c>
      <c r="DJ25">
        <v>17.050999999999998</v>
      </c>
      <c r="DK25" s="8">
        <v>0</v>
      </c>
      <c r="DL25">
        <v>17.361000000000001</v>
      </c>
      <c r="DM25">
        <v>17.361000000000001</v>
      </c>
      <c r="DN25">
        <v>0</v>
      </c>
      <c r="DO25" s="7">
        <v>11.396000000000001</v>
      </c>
      <c r="DP25">
        <v>11.396000000000001</v>
      </c>
      <c r="DQ25" s="8">
        <v>0</v>
      </c>
      <c r="DR25">
        <v>25.31</v>
      </c>
      <c r="DS25">
        <v>25.31</v>
      </c>
      <c r="DT25">
        <v>0</v>
      </c>
      <c r="DU25" s="7">
        <v>16.475000000000001</v>
      </c>
      <c r="DV25">
        <v>16.475000000000001</v>
      </c>
      <c r="DW25" s="8">
        <v>0</v>
      </c>
      <c r="DX25">
        <v>25.34</v>
      </c>
      <c r="DY25">
        <v>25.34</v>
      </c>
      <c r="DZ25">
        <v>0</v>
      </c>
      <c r="EA25" s="7">
        <v>16.498999999999999</v>
      </c>
      <c r="EB25">
        <v>16.498999999999999</v>
      </c>
      <c r="EC25" s="8">
        <v>0</v>
      </c>
      <c r="ED25" s="1"/>
    </row>
    <row r="26" spans="1:135" ht="17" thickBot="1" x14ac:dyDescent="0.25">
      <c r="A26" s="1"/>
      <c r="B26">
        <v>210</v>
      </c>
      <c r="C26" s="3">
        <v>4.866013023E-6</v>
      </c>
      <c r="D26" s="3">
        <v>6.1395355079999999E-6</v>
      </c>
      <c r="E26" s="3">
        <v>7.3576256870000002E-6</v>
      </c>
      <c r="F26" s="3">
        <v>5.0844315329999999E-6</v>
      </c>
      <c r="G26" s="3">
        <v>7.5047808139999998E-6</v>
      </c>
      <c r="H26" s="3">
        <v>9.434421776E-6</v>
      </c>
      <c r="I26" s="3">
        <v>6.2204507340000002E-6</v>
      </c>
      <c r="J26" s="3">
        <v>8.7832761179999994E-6</v>
      </c>
      <c r="K26" s="3">
        <v>1.1109220755E-5</v>
      </c>
      <c r="L26" s="3">
        <v>0.52775395639511602</v>
      </c>
      <c r="M26" s="3">
        <v>0.59423772925203799</v>
      </c>
      <c r="N26" s="3">
        <v>0.45844442475706099</v>
      </c>
      <c r="O26" s="3">
        <v>0.434577852964602</v>
      </c>
      <c r="P26" s="3">
        <v>0.57477515324519501</v>
      </c>
      <c r="Q26" s="3">
        <v>0.45773736184888703</v>
      </c>
      <c r="R26" s="3">
        <v>0.50401641961153998</v>
      </c>
      <c r="S26" s="3">
        <v>0.64184054838170801</v>
      </c>
      <c r="T26" s="3">
        <v>0.51473883605210802</v>
      </c>
      <c r="U26" s="1"/>
      <c r="V26" s="1"/>
      <c r="W26" s="21">
        <v>200</v>
      </c>
      <c r="X26" s="22">
        <v>54.808999999999997</v>
      </c>
      <c r="Y26" s="23">
        <v>54.808999999999997</v>
      </c>
      <c r="Z26" s="24">
        <v>0</v>
      </c>
      <c r="AA26" s="23">
        <v>30.452999999999999</v>
      </c>
      <c r="AB26" s="23">
        <v>30.452999999999999</v>
      </c>
      <c r="AC26" s="24">
        <v>0</v>
      </c>
      <c r="AD26" s="23">
        <v>87.402000000000001</v>
      </c>
      <c r="AE26" s="23">
        <v>87.402000000000001</v>
      </c>
      <c r="AF26" s="24">
        <v>0</v>
      </c>
      <c r="AG26" s="23">
        <v>41.113999999999997</v>
      </c>
      <c r="AH26" s="23">
        <v>41.113999999999997</v>
      </c>
      <c r="AI26" s="24">
        <v>0</v>
      </c>
      <c r="AJ26" s="23">
        <v>87.456999999999994</v>
      </c>
      <c r="AK26" s="23">
        <v>87.456999999999994</v>
      </c>
      <c r="AL26" s="24">
        <v>0</v>
      </c>
      <c r="AM26" s="23">
        <v>41.13</v>
      </c>
      <c r="AN26" s="23">
        <v>41.13</v>
      </c>
      <c r="AO26" s="24">
        <v>0</v>
      </c>
      <c r="AP26" s="23">
        <v>51.098999999999997</v>
      </c>
      <c r="AQ26" s="23">
        <v>51.098999999999997</v>
      </c>
      <c r="AR26" s="24">
        <v>0</v>
      </c>
      <c r="AS26" s="23">
        <v>29.26</v>
      </c>
      <c r="AT26" s="23">
        <v>29.26</v>
      </c>
      <c r="AU26" s="24">
        <v>0</v>
      </c>
      <c r="AV26" s="23">
        <v>79.784999999999997</v>
      </c>
      <c r="AW26" s="23">
        <v>79.784999999999997</v>
      </c>
      <c r="AX26" s="24">
        <v>0</v>
      </c>
      <c r="AY26" s="23">
        <v>38.917000000000002</v>
      </c>
      <c r="AZ26" s="23">
        <v>38.917000000000002</v>
      </c>
      <c r="BA26" s="24">
        <v>0</v>
      </c>
      <c r="BB26" s="23">
        <v>79.832999999999998</v>
      </c>
      <c r="BC26" s="23">
        <v>79.832999999999998</v>
      </c>
      <c r="BD26" s="24">
        <v>0</v>
      </c>
      <c r="BE26" s="23">
        <v>38.932000000000002</v>
      </c>
      <c r="BF26" s="23">
        <v>38.932000000000002</v>
      </c>
      <c r="BG26" s="23">
        <v>0</v>
      </c>
      <c r="BH26" s="25"/>
      <c r="BI26" s="23">
        <v>34.457999999999998</v>
      </c>
      <c r="BJ26" s="23">
        <v>34.457999999999998</v>
      </c>
      <c r="BK26" s="23">
        <v>0</v>
      </c>
      <c r="BL26" s="22">
        <v>20.175000000000001</v>
      </c>
      <c r="BM26" s="23">
        <v>20.175000000000001</v>
      </c>
      <c r="BN26" s="24">
        <v>0</v>
      </c>
      <c r="BO26" s="22">
        <v>47.953000000000003</v>
      </c>
      <c r="BP26" s="23">
        <v>47.953000000000003</v>
      </c>
      <c r="BQ26" s="24">
        <v>0</v>
      </c>
      <c r="BR26" s="22">
        <v>25.234000000000002</v>
      </c>
      <c r="BS26" s="23">
        <v>25.234000000000002</v>
      </c>
      <c r="BT26" s="24">
        <v>0</v>
      </c>
      <c r="BU26" s="23">
        <v>47.973999999999997</v>
      </c>
      <c r="BV26" s="23">
        <v>47.973999999999997</v>
      </c>
      <c r="BW26" s="23">
        <v>0</v>
      </c>
      <c r="BX26" s="22">
        <v>25.241</v>
      </c>
      <c r="BY26" s="23">
        <v>25.241</v>
      </c>
      <c r="BZ26" s="24">
        <v>0</v>
      </c>
      <c r="CA26" s="23">
        <v>31.215</v>
      </c>
      <c r="CB26" s="23">
        <v>31.215</v>
      </c>
      <c r="CC26" s="23">
        <v>0</v>
      </c>
      <c r="CD26" s="22">
        <v>19.042999999999999</v>
      </c>
      <c r="CE26" s="23">
        <v>19.042999999999999</v>
      </c>
      <c r="CF26" s="24">
        <v>0</v>
      </c>
      <c r="CG26" s="22">
        <v>42.776000000000003</v>
      </c>
      <c r="CH26" s="23">
        <v>42.776000000000003</v>
      </c>
      <c r="CI26" s="24">
        <v>0</v>
      </c>
      <c r="CJ26" s="22">
        <v>23.684999999999999</v>
      </c>
      <c r="CK26" s="23">
        <v>23.684999999999999</v>
      </c>
      <c r="CL26" s="24">
        <v>0</v>
      </c>
      <c r="CM26" s="23">
        <v>42.792999999999999</v>
      </c>
      <c r="CN26" s="23">
        <v>42.792999999999999</v>
      </c>
      <c r="CO26" s="23">
        <v>0</v>
      </c>
      <c r="CP26" s="22">
        <v>23.692</v>
      </c>
      <c r="CQ26" s="23">
        <v>23.692</v>
      </c>
      <c r="CR26" s="24">
        <v>0</v>
      </c>
      <c r="CS26" s="25"/>
      <c r="CT26" s="23">
        <v>17.710999999999999</v>
      </c>
      <c r="CU26" s="23">
        <v>17.710999999999999</v>
      </c>
      <c r="CV26" s="23">
        <v>0</v>
      </c>
      <c r="CW26" s="22">
        <v>11.343999999999999</v>
      </c>
      <c r="CX26" s="23">
        <v>11.343999999999999</v>
      </c>
      <c r="CY26" s="24">
        <v>0</v>
      </c>
      <c r="CZ26" s="23">
        <v>25.448</v>
      </c>
      <c r="DA26" s="23">
        <v>25.448</v>
      </c>
      <c r="DB26" s="23">
        <v>0</v>
      </c>
      <c r="DC26" s="22">
        <v>16.132999999999999</v>
      </c>
      <c r="DD26" s="23">
        <v>16.132999999999999</v>
      </c>
      <c r="DE26" s="24">
        <v>0</v>
      </c>
      <c r="DF26" s="23">
        <v>25.475000000000001</v>
      </c>
      <c r="DG26" s="23">
        <v>25.475000000000001</v>
      </c>
      <c r="DH26" s="23">
        <v>0</v>
      </c>
      <c r="DI26" s="22">
        <v>16.155000000000001</v>
      </c>
      <c r="DJ26" s="23">
        <v>16.155000000000001</v>
      </c>
      <c r="DK26" s="24">
        <v>0</v>
      </c>
      <c r="DL26" s="23">
        <v>16.7</v>
      </c>
      <c r="DM26" s="23">
        <v>16.7</v>
      </c>
      <c r="DN26" s="23">
        <v>0</v>
      </c>
      <c r="DO26" s="22">
        <v>10.938000000000001</v>
      </c>
      <c r="DP26" s="23">
        <v>10.938000000000001</v>
      </c>
      <c r="DQ26" s="24">
        <v>0</v>
      </c>
      <c r="DR26" s="23">
        <v>24.021000000000001</v>
      </c>
      <c r="DS26" s="23">
        <v>24.021000000000001</v>
      </c>
      <c r="DT26" s="23">
        <v>0</v>
      </c>
      <c r="DU26" s="22">
        <v>15.632999999999999</v>
      </c>
      <c r="DV26" s="23">
        <v>15.632999999999999</v>
      </c>
      <c r="DW26" s="24">
        <v>0</v>
      </c>
      <c r="DX26" s="23">
        <v>24.047000000000001</v>
      </c>
      <c r="DY26" s="23">
        <v>24.047000000000001</v>
      </c>
      <c r="DZ26" s="23">
        <v>0</v>
      </c>
      <c r="EA26" s="22">
        <v>15.654999999999999</v>
      </c>
      <c r="EB26" s="23">
        <v>15.654999999999999</v>
      </c>
      <c r="EC26" s="24">
        <v>0</v>
      </c>
      <c r="ED26" s="1"/>
      <c r="EE26" s="26" t="s">
        <v>34</v>
      </c>
    </row>
    <row r="27" spans="1:135" ht="17" thickTop="1" x14ac:dyDescent="0.2">
      <c r="A27" s="1"/>
      <c r="B27">
        <v>220</v>
      </c>
      <c r="C27" s="3">
        <v>4.9821566059999998E-6</v>
      </c>
      <c r="D27" s="3">
        <v>3.630248796E-6</v>
      </c>
      <c r="E27" s="3">
        <v>7.5577701320000004E-6</v>
      </c>
      <c r="F27" s="3">
        <v>6.5916252449999997E-6</v>
      </c>
      <c r="G27" s="3">
        <v>3.3389200160000001E-6</v>
      </c>
      <c r="H27" s="3">
        <v>9.4564887459999996E-6</v>
      </c>
      <c r="I27" s="3">
        <v>6.36852689E-6</v>
      </c>
      <c r="J27" s="3">
        <v>8.8781843039999998E-6</v>
      </c>
      <c r="K27" s="3">
        <v>1.1603659501E-5</v>
      </c>
      <c r="L27" s="3">
        <v>0.52985039641103004</v>
      </c>
      <c r="M27" s="3">
        <v>0.34435085042899899</v>
      </c>
      <c r="N27" s="3">
        <v>0.46220646436486701</v>
      </c>
      <c r="O27" s="3">
        <v>0.55749406003935198</v>
      </c>
      <c r="P27" s="3">
        <v>0.25325627422011399</v>
      </c>
      <c r="Q27" s="3">
        <v>0.45469097725112501</v>
      </c>
      <c r="R27" s="3">
        <v>0.51263297805545505</v>
      </c>
      <c r="S27" s="3">
        <v>0.64486387302204196</v>
      </c>
      <c r="T27" s="3">
        <v>0.53419650781722305</v>
      </c>
      <c r="U27" s="1"/>
      <c r="V27" s="1"/>
      <c r="W27" s="3">
        <f>W26+50</f>
        <v>250</v>
      </c>
      <c r="X27">
        <v>45.863999999999997</v>
      </c>
      <c r="Y27">
        <v>45.863999999999997</v>
      </c>
      <c r="Z27" s="8">
        <v>0</v>
      </c>
      <c r="AA27">
        <v>25.359000000000002</v>
      </c>
      <c r="AB27">
        <v>25.359000000000002</v>
      </c>
      <c r="AC27" s="8">
        <v>0</v>
      </c>
      <c r="AD27">
        <v>66.707999999999998</v>
      </c>
      <c r="AE27">
        <v>66.707999999999998</v>
      </c>
      <c r="AF27" s="8">
        <v>0</v>
      </c>
      <c r="AG27">
        <v>32.438000000000002</v>
      </c>
      <c r="AH27">
        <v>32.438000000000002</v>
      </c>
      <c r="AI27" s="8">
        <v>0</v>
      </c>
      <c r="AJ27">
        <v>66.739999999999995</v>
      </c>
      <c r="AK27">
        <v>66.739999999999995</v>
      </c>
      <c r="AL27" s="8">
        <v>0</v>
      </c>
      <c r="AM27">
        <v>32.448</v>
      </c>
      <c r="AN27">
        <v>32.448</v>
      </c>
      <c r="AO27" s="8">
        <v>0</v>
      </c>
      <c r="AP27">
        <v>43.076000000000001</v>
      </c>
      <c r="AQ27">
        <v>43.076000000000001</v>
      </c>
      <c r="AR27" s="8">
        <v>0</v>
      </c>
      <c r="AS27">
        <v>24.495999999999999</v>
      </c>
      <c r="AT27">
        <v>24.495999999999999</v>
      </c>
      <c r="AU27" s="8">
        <v>0</v>
      </c>
      <c r="AV27">
        <v>61.749000000000002</v>
      </c>
      <c r="AW27">
        <v>61.749000000000002</v>
      </c>
      <c r="AX27" s="8">
        <v>0</v>
      </c>
      <c r="AY27">
        <v>31.007000000000001</v>
      </c>
      <c r="AZ27">
        <v>31.007000000000001</v>
      </c>
      <c r="BA27" s="8">
        <v>0</v>
      </c>
      <c r="BB27">
        <v>61.777000000000001</v>
      </c>
      <c r="BC27">
        <v>61.777000000000001</v>
      </c>
      <c r="BD27" s="8">
        <v>0</v>
      </c>
      <c r="BE27">
        <v>31.015999999999998</v>
      </c>
      <c r="BF27">
        <v>31.015999999999998</v>
      </c>
      <c r="BG27">
        <v>0</v>
      </c>
      <c r="BH27" s="1"/>
      <c r="BI27">
        <v>28.763000000000002</v>
      </c>
      <c r="BJ27">
        <v>28.763000000000002</v>
      </c>
      <c r="BK27">
        <v>0</v>
      </c>
      <c r="BL27" s="7">
        <v>16.672999999999998</v>
      </c>
      <c r="BM27">
        <v>16.672999999999998</v>
      </c>
      <c r="BN27" s="8">
        <v>0</v>
      </c>
      <c r="BO27" s="7">
        <v>37.603999999999999</v>
      </c>
      <c r="BP27">
        <v>37.603999999999999</v>
      </c>
      <c r="BQ27" s="8">
        <v>0</v>
      </c>
      <c r="BR27" s="7">
        <v>20.024999999999999</v>
      </c>
      <c r="BS27">
        <v>20.024999999999999</v>
      </c>
      <c r="BT27" s="8">
        <v>0</v>
      </c>
      <c r="BU27">
        <v>37.616999999999997</v>
      </c>
      <c r="BV27">
        <v>37.616999999999997</v>
      </c>
      <c r="BW27">
        <v>0</v>
      </c>
      <c r="BX27" s="7">
        <v>20.03</v>
      </c>
      <c r="BY27">
        <v>20.03</v>
      </c>
      <c r="BZ27" s="8">
        <v>0</v>
      </c>
      <c r="CA27">
        <v>26.417000000000002</v>
      </c>
      <c r="CB27">
        <v>26.417000000000002</v>
      </c>
      <c r="CC27">
        <v>0</v>
      </c>
      <c r="CD27" s="7">
        <v>15.885</v>
      </c>
      <c r="CE27">
        <v>15.885</v>
      </c>
      <c r="CF27" s="8">
        <v>0</v>
      </c>
      <c r="CG27" s="7">
        <v>34.183</v>
      </c>
      <c r="CH27">
        <v>34.183</v>
      </c>
      <c r="CI27" s="8">
        <v>0</v>
      </c>
      <c r="CJ27" s="7">
        <v>19.013000000000002</v>
      </c>
      <c r="CK27">
        <v>19.013000000000002</v>
      </c>
      <c r="CL27" s="8">
        <v>0</v>
      </c>
      <c r="CM27">
        <v>34.194000000000003</v>
      </c>
      <c r="CN27">
        <v>34.194000000000003</v>
      </c>
      <c r="CO27">
        <v>0</v>
      </c>
      <c r="CP27" s="7">
        <v>19.016999999999999</v>
      </c>
      <c r="CQ27">
        <v>19.016999999999999</v>
      </c>
      <c r="CR27" s="8">
        <v>0</v>
      </c>
      <c r="CS27" s="1"/>
      <c r="CT27">
        <v>14.754</v>
      </c>
      <c r="CU27">
        <v>14.754</v>
      </c>
      <c r="CV27">
        <v>0</v>
      </c>
      <c r="CW27" s="7">
        <v>9.4</v>
      </c>
      <c r="CX27">
        <v>9.4</v>
      </c>
      <c r="CY27" s="8">
        <v>0</v>
      </c>
      <c r="CZ27">
        <v>20.106999999999999</v>
      </c>
      <c r="DA27">
        <v>20.106999999999999</v>
      </c>
      <c r="DB27">
        <v>0</v>
      </c>
      <c r="DC27" s="7">
        <v>12.792</v>
      </c>
      <c r="DD27">
        <v>12.792</v>
      </c>
      <c r="DE27" s="8">
        <v>0</v>
      </c>
      <c r="DF27">
        <v>20.123000000000001</v>
      </c>
      <c r="DG27">
        <v>20.123000000000001</v>
      </c>
      <c r="DH27">
        <v>0</v>
      </c>
      <c r="DI27" s="7">
        <v>12.805999999999999</v>
      </c>
      <c r="DJ27">
        <v>12.805999999999999</v>
      </c>
      <c r="DK27" s="8">
        <v>0</v>
      </c>
      <c r="DL27">
        <v>14.055</v>
      </c>
      <c r="DM27">
        <v>14.055</v>
      </c>
      <c r="DN27">
        <v>0</v>
      </c>
      <c r="DO27" s="7">
        <v>9.1259999999999994</v>
      </c>
      <c r="DP27">
        <v>9.1259999999999994</v>
      </c>
      <c r="DQ27" s="8">
        <v>0</v>
      </c>
      <c r="DR27">
        <v>19.18</v>
      </c>
      <c r="DS27">
        <v>19.18</v>
      </c>
      <c r="DT27">
        <v>0</v>
      </c>
      <c r="DU27" s="7">
        <v>12.468</v>
      </c>
      <c r="DV27">
        <v>12.468</v>
      </c>
      <c r="DW27" s="8">
        <v>0</v>
      </c>
      <c r="DX27">
        <v>19.196000000000002</v>
      </c>
      <c r="DY27">
        <v>19.196000000000002</v>
      </c>
      <c r="DZ27">
        <v>0</v>
      </c>
      <c r="EA27" s="7">
        <v>12.481</v>
      </c>
      <c r="EB27">
        <v>12.481</v>
      </c>
      <c r="EC27" s="8">
        <v>0</v>
      </c>
      <c r="ED27" s="1"/>
    </row>
    <row r="28" spans="1:135" x14ac:dyDescent="0.2">
      <c r="A28" s="1"/>
      <c r="B28">
        <v>230</v>
      </c>
      <c r="C28" s="3">
        <v>5.0219778520000001E-6</v>
      </c>
      <c r="D28" s="3">
        <v>5.4474282080000004E-6</v>
      </c>
      <c r="E28" s="3">
        <v>7.7315115740000003E-6</v>
      </c>
      <c r="F28" s="3">
        <v>6.9471497279999999E-6</v>
      </c>
      <c r="G28" s="3">
        <v>6.5142338030000001E-6</v>
      </c>
      <c r="H28" s="3">
        <v>9.6290965889999992E-6</v>
      </c>
      <c r="I28" s="3">
        <v>5.3613958880000004E-6</v>
      </c>
      <c r="J28" s="3">
        <v>8.9569811019999994E-6</v>
      </c>
      <c r="K28" s="3">
        <v>1.1666668378E-5</v>
      </c>
      <c r="L28" s="3">
        <v>0.52488758777022004</v>
      </c>
      <c r="M28" s="3">
        <v>0.50754752520603497</v>
      </c>
      <c r="N28" s="3">
        <v>0.46516066665478201</v>
      </c>
      <c r="O28" s="3">
        <v>0.58291946789231897</v>
      </c>
      <c r="P28" s="3">
        <v>0.48964861053055297</v>
      </c>
      <c r="Q28" s="3">
        <v>0.459355862827244</v>
      </c>
      <c r="R28" s="3">
        <v>0.42884828959127602</v>
      </c>
      <c r="S28" s="3">
        <v>0.64711798366971296</v>
      </c>
      <c r="T28" s="3">
        <v>0.53404328994474204</v>
      </c>
      <c r="U28" s="1"/>
      <c r="V28" s="1"/>
      <c r="W28" s="9">
        <f t="shared" ref="W28:W42" si="0">W27+50</f>
        <v>300</v>
      </c>
      <c r="X28" s="10">
        <v>39.53</v>
      </c>
      <c r="Y28" s="10">
        <v>39.53</v>
      </c>
      <c r="Z28" s="13">
        <v>0</v>
      </c>
      <c r="AA28" s="10">
        <v>21.747</v>
      </c>
      <c r="AB28" s="10">
        <v>21.747</v>
      </c>
      <c r="AC28" s="13">
        <v>0</v>
      </c>
      <c r="AD28" s="10">
        <v>54.164999999999999</v>
      </c>
      <c r="AE28" s="10">
        <v>54.164999999999999</v>
      </c>
      <c r="AF28" s="13">
        <v>0</v>
      </c>
      <c r="AG28" s="10">
        <v>26.811</v>
      </c>
      <c r="AH28" s="10">
        <v>26.811</v>
      </c>
      <c r="AI28" s="13">
        <v>0</v>
      </c>
      <c r="AJ28" s="10">
        <v>54.186</v>
      </c>
      <c r="AK28" s="10">
        <v>54.186</v>
      </c>
      <c r="AL28" s="13">
        <v>0</v>
      </c>
      <c r="AM28" s="10">
        <v>26.817</v>
      </c>
      <c r="AN28" s="10">
        <v>26.817</v>
      </c>
      <c r="AO28" s="13">
        <v>0</v>
      </c>
      <c r="AP28" s="10">
        <v>37.353000000000002</v>
      </c>
      <c r="AQ28" s="10">
        <v>37.353000000000002</v>
      </c>
      <c r="AR28" s="13">
        <v>0</v>
      </c>
      <c r="AS28" s="10">
        <v>21.091999999999999</v>
      </c>
      <c r="AT28" s="10">
        <v>21.091999999999999</v>
      </c>
      <c r="AU28" s="13">
        <v>0</v>
      </c>
      <c r="AV28" s="10">
        <v>50.636000000000003</v>
      </c>
      <c r="AW28" s="10">
        <v>50.636000000000003</v>
      </c>
      <c r="AX28" s="13">
        <v>0</v>
      </c>
      <c r="AY28" s="10">
        <v>25.800999999999998</v>
      </c>
      <c r="AZ28" s="10">
        <v>25.800999999999998</v>
      </c>
      <c r="BA28" s="13">
        <v>0</v>
      </c>
      <c r="BB28" s="10">
        <v>50.655000000000001</v>
      </c>
      <c r="BC28" s="10">
        <v>50.655000000000001</v>
      </c>
      <c r="BD28" s="13">
        <v>0</v>
      </c>
      <c r="BE28" s="10">
        <v>25.806999999999999</v>
      </c>
      <c r="BF28" s="10">
        <v>25.806999999999999</v>
      </c>
      <c r="BG28" s="10">
        <v>0</v>
      </c>
      <c r="BH28" s="12"/>
      <c r="BI28" s="11">
        <v>24.716999999999999</v>
      </c>
      <c r="BJ28" s="10">
        <v>24.716999999999999</v>
      </c>
      <c r="BK28" s="10">
        <v>0</v>
      </c>
      <c r="BL28" s="11">
        <v>14.217000000000001</v>
      </c>
      <c r="BM28" s="10">
        <v>14.217000000000001</v>
      </c>
      <c r="BN28" s="13">
        <v>0</v>
      </c>
      <c r="BO28" s="11">
        <v>30.998000000000001</v>
      </c>
      <c r="BP28" s="10">
        <v>30.998000000000001</v>
      </c>
      <c r="BQ28" s="13">
        <v>0</v>
      </c>
      <c r="BR28" s="11">
        <v>16.613</v>
      </c>
      <c r="BS28" s="10">
        <v>16.613</v>
      </c>
      <c r="BT28" s="13">
        <v>0</v>
      </c>
      <c r="BU28" s="10">
        <v>31.006</v>
      </c>
      <c r="BV28" s="10">
        <v>31.006</v>
      </c>
      <c r="BW28" s="10">
        <v>0</v>
      </c>
      <c r="BX28" s="11">
        <v>16.616</v>
      </c>
      <c r="BY28" s="10">
        <v>16.616</v>
      </c>
      <c r="BZ28" s="13">
        <v>0</v>
      </c>
      <c r="CA28" s="10">
        <v>22.934999999999999</v>
      </c>
      <c r="CB28" s="10">
        <v>22.934999999999999</v>
      </c>
      <c r="CC28" s="10">
        <v>0</v>
      </c>
      <c r="CD28" s="11">
        <v>13.637</v>
      </c>
      <c r="CE28" s="10">
        <v>13.637</v>
      </c>
      <c r="CF28" s="13">
        <v>0</v>
      </c>
      <c r="CG28" s="11">
        <v>28.548999999999999</v>
      </c>
      <c r="CH28" s="10">
        <v>28.548999999999999</v>
      </c>
      <c r="CI28" s="13">
        <v>0</v>
      </c>
      <c r="CJ28" s="11">
        <v>15.897</v>
      </c>
      <c r="CK28" s="10">
        <v>15.897</v>
      </c>
      <c r="CL28" s="13">
        <v>0</v>
      </c>
      <c r="CM28" s="10">
        <v>28.556999999999999</v>
      </c>
      <c r="CN28" s="10">
        <v>28.556999999999999</v>
      </c>
      <c r="CO28" s="10">
        <v>0</v>
      </c>
      <c r="CP28" s="11">
        <v>15.9</v>
      </c>
      <c r="CQ28" s="10">
        <v>15.9</v>
      </c>
      <c r="CR28" s="13">
        <v>0</v>
      </c>
      <c r="CS28" s="12"/>
      <c r="CT28" s="11">
        <v>12.670999999999999</v>
      </c>
      <c r="CU28" s="10">
        <v>12.670999999999999</v>
      </c>
      <c r="CV28" s="10">
        <v>0</v>
      </c>
      <c r="CW28" s="11">
        <v>8.0449999999999999</v>
      </c>
      <c r="CX28" s="10">
        <v>8.0449999999999999</v>
      </c>
      <c r="CY28" s="13">
        <v>0</v>
      </c>
      <c r="CZ28" s="10">
        <v>16.643000000000001</v>
      </c>
      <c r="DA28" s="10">
        <v>16.643000000000001</v>
      </c>
      <c r="DB28" s="10">
        <v>0</v>
      </c>
      <c r="DC28" s="11">
        <v>10.609</v>
      </c>
      <c r="DD28" s="10">
        <v>10.609</v>
      </c>
      <c r="DE28" s="13">
        <v>0</v>
      </c>
      <c r="DF28" s="10">
        <v>16.654</v>
      </c>
      <c r="DG28" s="10">
        <v>16.654</v>
      </c>
      <c r="DH28" s="10">
        <v>0</v>
      </c>
      <c r="DI28" s="11">
        <v>10.618</v>
      </c>
      <c r="DJ28" s="10">
        <v>10.618</v>
      </c>
      <c r="DK28" s="13">
        <v>0</v>
      </c>
      <c r="DL28" s="10">
        <v>12.157</v>
      </c>
      <c r="DM28" s="10">
        <v>12.157</v>
      </c>
      <c r="DN28" s="10">
        <v>0</v>
      </c>
      <c r="DO28" s="11">
        <v>7.8470000000000004</v>
      </c>
      <c r="DP28" s="10">
        <v>7.8470000000000004</v>
      </c>
      <c r="DQ28" s="13">
        <v>0</v>
      </c>
      <c r="DR28" s="10">
        <v>15.99</v>
      </c>
      <c r="DS28" s="10">
        <v>15.99</v>
      </c>
      <c r="DT28" s="10">
        <v>0</v>
      </c>
      <c r="DU28" s="11">
        <v>10.381</v>
      </c>
      <c r="DV28" s="10">
        <v>10.381</v>
      </c>
      <c r="DW28" s="13">
        <v>0</v>
      </c>
      <c r="DX28" s="10">
        <v>16.001000000000001</v>
      </c>
      <c r="DY28" s="10">
        <v>16.001000000000001</v>
      </c>
      <c r="DZ28" s="10">
        <v>0</v>
      </c>
      <c r="EA28" s="11">
        <v>10.39</v>
      </c>
      <c r="EB28" s="10">
        <v>10.39</v>
      </c>
      <c r="EC28" s="13">
        <v>0</v>
      </c>
      <c r="ED28" s="1"/>
      <c r="EE28" s="9" t="s">
        <v>91</v>
      </c>
    </row>
    <row r="29" spans="1:135" x14ac:dyDescent="0.2">
      <c r="A29" s="1"/>
      <c r="B29">
        <v>240</v>
      </c>
      <c r="C29" s="3">
        <v>5.1249842790000003E-6</v>
      </c>
      <c r="D29" s="3">
        <v>6.7951731190000002E-6</v>
      </c>
      <c r="E29" s="3">
        <v>7.8786604600000006E-6</v>
      </c>
      <c r="F29" s="3">
        <v>6.0395425060000002E-6</v>
      </c>
      <c r="G29" s="3">
        <v>7.7888056699999995E-6</v>
      </c>
      <c r="H29" s="3">
        <v>9.8546445940000003E-6</v>
      </c>
      <c r="I29" s="3">
        <v>5.6608117100000004E-6</v>
      </c>
      <c r="J29" s="3">
        <v>9.0385534419999996E-6</v>
      </c>
      <c r="K29" s="3">
        <v>1.1620041898E-5</v>
      </c>
      <c r="L29" s="3">
        <v>0.52748941702448005</v>
      </c>
      <c r="M29" s="3">
        <v>0.62354195324884498</v>
      </c>
      <c r="N29" s="3">
        <v>0.46724168926708098</v>
      </c>
      <c r="O29" s="3">
        <v>0.50361711587493296</v>
      </c>
      <c r="P29" s="3">
        <v>0.582047985665192</v>
      </c>
      <c r="Q29" s="3">
        <v>0.46692619119700302</v>
      </c>
      <c r="R29" s="3">
        <v>0.45014551840522499</v>
      </c>
      <c r="S29" s="3">
        <v>0.64992115575933396</v>
      </c>
      <c r="T29" s="3">
        <v>0.52916010165454197</v>
      </c>
      <c r="U29" s="1"/>
      <c r="V29" s="1"/>
      <c r="W29" s="3">
        <f t="shared" si="0"/>
        <v>350</v>
      </c>
      <c r="X29">
        <v>34.793999999999997</v>
      </c>
      <c r="Y29">
        <v>34.793999999999997</v>
      </c>
      <c r="Z29" s="8">
        <v>0</v>
      </c>
      <c r="AA29">
        <v>19.05</v>
      </c>
      <c r="AB29">
        <v>19.05</v>
      </c>
      <c r="AC29" s="8">
        <v>0</v>
      </c>
      <c r="AD29">
        <v>45.698999999999998</v>
      </c>
      <c r="AE29">
        <v>45.698999999999998</v>
      </c>
      <c r="AF29" s="8">
        <v>0</v>
      </c>
      <c r="AG29">
        <v>22.861999999999998</v>
      </c>
      <c r="AH29">
        <v>22.861999999999998</v>
      </c>
      <c r="AI29" s="8">
        <v>0</v>
      </c>
      <c r="AJ29">
        <v>45.713999999999999</v>
      </c>
      <c r="AK29">
        <v>45.713999999999999</v>
      </c>
      <c r="AL29" s="8">
        <v>0</v>
      </c>
      <c r="AM29">
        <v>22.867000000000001</v>
      </c>
      <c r="AN29">
        <v>22.867000000000001</v>
      </c>
      <c r="AO29" s="8">
        <v>0</v>
      </c>
      <c r="AP29">
        <v>33.042999999999999</v>
      </c>
      <c r="AQ29">
        <v>33.042999999999999</v>
      </c>
      <c r="AR29" s="8">
        <v>0</v>
      </c>
      <c r="AS29">
        <v>18.535</v>
      </c>
      <c r="AT29">
        <v>18.535</v>
      </c>
      <c r="AU29" s="8">
        <v>0</v>
      </c>
      <c r="AV29">
        <v>43.042000000000002</v>
      </c>
      <c r="AW29">
        <v>43.042000000000002</v>
      </c>
      <c r="AX29" s="8">
        <v>0</v>
      </c>
      <c r="AY29">
        <v>22.11</v>
      </c>
      <c r="AZ29">
        <v>22.11</v>
      </c>
      <c r="BA29" s="8">
        <v>0</v>
      </c>
      <c r="BB29">
        <v>43.055</v>
      </c>
      <c r="BC29">
        <v>43.055</v>
      </c>
      <c r="BD29" s="8">
        <v>0</v>
      </c>
      <c r="BE29">
        <v>22.114999999999998</v>
      </c>
      <c r="BF29">
        <v>22.114999999999998</v>
      </c>
      <c r="BG29">
        <v>0</v>
      </c>
      <c r="BH29" s="1"/>
      <c r="BI29">
        <v>21.687000000000001</v>
      </c>
      <c r="BJ29">
        <v>21.687000000000001</v>
      </c>
      <c r="BK29">
        <v>0</v>
      </c>
      <c r="BL29" s="7">
        <v>12.398999999999999</v>
      </c>
      <c r="BM29">
        <v>12.398999999999999</v>
      </c>
      <c r="BN29" s="8">
        <v>0</v>
      </c>
      <c r="BO29" s="7">
        <v>26.396000000000001</v>
      </c>
      <c r="BP29">
        <v>26.396000000000001</v>
      </c>
      <c r="BQ29" s="8">
        <v>0</v>
      </c>
      <c r="BR29" s="7">
        <v>14.201000000000001</v>
      </c>
      <c r="BS29">
        <v>14.201000000000001</v>
      </c>
      <c r="BT29" s="8">
        <v>0</v>
      </c>
      <c r="BU29">
        <v>26.402000000000001</v>
      </c>
      <c r="BV29">
        <v>26.402000000000001</v>
      </c>
      <c r="BW29">
        <v>0</v>
      </c>
      <c r="BX29" s="7">
        <v>14.202999999999999</v>
      </c>
      <c r="BY29">
        <v>14.202999999999999</v>
      </c>
      <c r="BZ29" s="8">
        <v>0</v>
      </c>
      <c r="CA29">
        <v>20.283999999999999</v>
      </c>
      <c r="CB29">
        <v>20.283999999999999</v>
      </c>
      <c r="CC29">
        <v>0</v>
      </c>
      <c r="CD29" s="7">
        <v>11.954000000000001</v>
      </c>
      <c r="CE29">
        <v>11.954000000000001</v>
      </c>
      <c r="CF29" s="8">
        <v>0</v>
      </c>
      <c r="CG29" s="7">
        <v>24.547999999999998</v>
      </c>
      <c r="CH29">
        <v>24.547999999999998</v>
      </c>
      <c r="CI29" s="8">
        <v>0</v>
      </c>
      <c r="CJ29" s="7">
        <v>13.667</v>
      </c>
      <c r="CK29">
        <v>13.667</v>
      </c>
      <c r="CL29" s="8">
        <v>0</v>
      </c>
      <c r="CM29">
        <v>24.553999999999998</v>
      </c>
      <c r="CN29">
        <v>24.553999999999998</v>
      </c>
      <c r="CO29">
        <v>0</v>
      </c>
      <c r="CP29" s="7">
        <v>13.669</v>
      </c>
      <c r="CQ29">
        <v>13.669</v>
      </c>
      <c r="CR29" s="8">
        <v>0</v>
      </c>
      <c r="CS29" s="1"/>
      <c r="CT29">
        <v>11.119</v>
      </c>
      <c r="CU29">
        <v>11.119</v>
      </c>
      <c r="CV29">
        <v>0</v>
      </c>
      <c r="CW29" s="7">
        <v>7.0430000000000001</v>
      </c>
      <c r="CX29">
        <v>7.0430000000000001</v>
      </c>
      <c r="CY29" s="8">
        <v>0</v>
      </c>
      <c r="CZ29">
        <v>14.207000000000001</v>
      </c>
      <c r="DA29">
        <v>14.207000000000001</v>
      </c>
      <c r="DB29">
        <v>0</v>
      </c>
      <c r="DC29" s="7">
        <v>9.0660000000000007</v>
      </c>
      <c r="DD29">
        <v>9.0660000000000007</v>
      </c>
      <c r="DE29" s="8">
        <v>0</v>
      </c>
      <c r="DF29">
        <v>14.215</v>
      </c>
      <c r="DG29">
        <v>14.215</v>
      </c>
      <c r="DH29">
        <v>0</v>
      </c>
      <c r="DI29" s="7">
        <v>9.0730000000000004</v>
      </c>
      <c r="DJ29">
        <v>9.0730000000000004</v>
      </c>
      <c r="DK29" s="8">
        <v>0</v>
      </c>
      <c r="DL29">
        <v>10.725</v>
      </c>
      <c r="DM29">
        <v>10.725</v>
      </c>
      <c r="DN29">
        <v>0</v>
      </c>
      <c r="DO29" s="7">
        <v>6.8929999999999998</v>
      </c>
      <c r="DP29">
        <v>6.8929999999999998</v>
      </c>
      <c r="DQ29" s="8">
        <v>0</v>
      </c>
      <c r="DR29">
        <v>13.722</v>
      </c>
      <c r="DS29">
        <v>13.722</v>
      </c>
      <c r="DT29">
        <v>0</v>
      </c>
      <c r="DU29" s="7">
        <v>8.8970000000000002</v>
      </c>
      <c r="DV29">
        <v>8.8970000000000002</v>
      </c>
      <c r="DW29" s="8">
        <v>0</v>
      </c>
      <c r="DX29">
        <v>13.73</v>
      </c>
      <c r="DY29">
        <v>13.73</v>
      </c>
      <c r="DZ29">
        <v>0</v>
      </c>
      <c r="EA29" s="7">
        <v>8.9039999999999999</v>
      </c>
      <c r="EB29">
        <v>8.9039999999999999</v>
      </c>
      <c r="EC29" s="8">
        <v>0</v>
      </c>
      <c r="ED29" s="1"/>
    </row>
    <row r="30" spans="1:135" x14ac:dyDescent="0.2">
      <c r="A30" s="1"/>
      <c r="B30">
        <v>250</v>
      </c>
      <c r="C30" s="3">
        <v>5.2981024089999999E-6</v>
      </c>
      <c r="D30" s="3">
        <v>6.6220391110000004E-6</v>
      </c>
      <c r="E30" s="3">
        <v>8.027488165E-6</v>
      </c>
      <c r="F30" s="3">
        <v>5.8851173630000002E-6</v>
      </c>
      <c r="G30" s="3">
        <v>5.7207759609999999E-6</v>
      </c>
      <c r="H30" s="3">
        <v>9.9106459129999996E-6</v>
      </c>
      <c r="I30" s="3">
        <v>6.540930923E-6</v>
      </c>
      <c r="J30" s="3">
        <v>9.0976183789999998E-6</v>
      </c>
      <c r="K30" s="3">
        <v>1.1805173085E-5</v>
      </c>
      <c r="L30" s="3">
        <v>0.53788704862778103</v>
      </c>
      <c r="M30" s="3">
        <v>0.59966051381577101</v>
      </c>
      <c r="N30" s="3">
        <v>0.47005894503914603</v>
      </c>
      <c r="O30" s="3">
        <v>0.48711937531084398</v>
      </c>
      <c r="P30" s="3">
        <v>0.42451518794484799</v>
      </c>
      <c r="Q30" s="3">
        <v>0.466790397386878</v>
      </c>
      <c r="R30" s="3">
        <v>0.51754795816685895</v>
      </c>
      <c r="S30" s="3">
        <v>0.65140875247420305</v>
      </c>
      <c r="T30" s="3">
        <v>0.53506529932294999</v>
      </c>
      <c r="U30" s="1"/>
      <c r="V30" s="1"/>
      <c r="W30" s="3">
        <f t="shared" si="0"/>
        <v>400</v>
      </c>
      <c r="X30">
        <v>31.106000000000002</v>
      </c>
      <c r="Y30">
        <v>31.106000000000002</v>
      </c>
      <c r="Z30" s="8">
        <v>0</v>
      </c>
      <c r="AA30">
        <v>16.957000000000001</v>
      </c>
      <c r="AB30">
        <v>16.957000000000001</v>
      </c>
      <c r="AC30" s="8">
        <v>0</v>
      </c>
      <c r="AD30">
        <v>39.576000000000001</v>
      </c>
      <c r="AE30">
        <v>39.576000000000001</v>
      </c>
      <c r="AF30" s="8">
        <v>0</v>
      </c>
      <c r="AG30">
        <v>19.934999999999999</v>
      </c>
      <c r="AH30">
        <v>19.934999999999999</v>
      </c>
      <c r="AI30" s="8">
        <v>0</v>
      </c>
      <c r="AJ30">
        <v>39.587000000000003</v>
      </c>
      <c r="AK30">
        <v>39.587000000000003</v>
      </c>
      <c r="AL30" s="8">
        <v>0</v>
      </c>
      <c r="AM30">
        <v>19.939</v>
      </c>
      <c r="AN30">
        <v>19.939</v>
      </c>
      <c r="AO30" s="8">
        <v>0</v>
      </c>
      <c r="AP30">
        <v>29.666</v>
      </c>
      <c r="AQ30">
        <v>29.666</v>
      </c>
      <c r="AR30" s="8">
        <v>0</v>
      </c>
      <c r="AS30">
        <v>16.542000000000002</v>
      </c>
      <c r="AT30">
        <v>16.542000000000002</v>
      </c>
      <c r="AU30" s="8">
        <v>0</v>
      </c>
      <c r="AV30">
        <v>37.494999999999997</v>
      </c>
      <c r="AW30">
        <v>37.494999999999997</v>
      </c>
      <c r="AX30" s="8">
        <v>0</v>
      </c>
      <c r="AY30">
        <v>19.353000000000002</v>
      </c>
      <c r="AZ30">
        <v>19.353000000000002</v>
      </c>
      <c r="BA30" s="8">
        <v>0</v>
      </c>
      <c r="BB30">
        <v>37.505000000000003</v>
      </c>
      <c r="BC30">
        <v>37.505000000000003</v>
      </c>
      <c r="BD30" s="8">
        <v>0</v>
      </c>
      <c r="BE30">
        <v>19.356000000000002</v>
      </c>
      <c r="BF30">
        <v>19.356000000000002</v>
      </c>
      <c r="BG30">
        <v>0</v>
      </c>
      <c r="BH30" s="1"/>
      <c r="BI30">
        <v>19.329000000000001</v>
      </c>
      <c r="BJ30">
        <v>19.329000000000001</v>
      </c>
      <c r="BK30">
        <v>0</v>
      </c>
      <c r="BL30" s="7">
        <v>10.997</v>
      </c>
      <c r="BM30">
        <v>10.997</v>
      </c>
      <c r="BN30" s="8">
        <v>0</v>
      </c>
      <c r="BO30" s="7">
        <v>22.998000000000001</v>
      </c>
      <c r="BP30">
        <v>22.998000000000001</v>
      </c>
      <c r="BQ30" s="8">
        <v>0</v>
      </c>
      <c r="BR30" s="7">
        <v>12.404</v>
      </c>
      <c r="BS30">
        <v>12.404</v>
      </c>
      <c r="BT30" s="8">
        <v>0</v>
      </c>
      <c r="BU30">
        <v>23.001999999999999</v>
      </c>
      <c r="BV30">
        <v>23.001999999999999</v>
      </c>
      <c r="BW30">
        <v>0</v>
      </c>
      <c r="BX30" s="7">
        <v>12.404999999999999</v>
      </c>
      <c r="BY30">
        <v>12.404999999999999</v>
      </c>
      <c r="BZ30" s="8">
        <v>0</v>
      </c>
      <c r="CA30">
        <v>18.193999999999999</v>
      </c>
      <c r="CB30">
        <v>18.193999999999999</v>
      </c>
      <c r="CC30">
        <v>0</v>
      </c>
      <c r="CD30" s="7">
        <v>10.644</v>
      </c>
      <c r="CE30">
        <v>10.644</v>
      </c>
      <c r="CF30" s="8">
        <v>0</v>
      </c>
      <c r="CG30" s="7">
        <v>21.550999999999998</v>
      </c>
      <c r="CH30">
        <v>21.550999999999998</v>
      </c>
      <c r="CI30" s="8">
        <v>0</v>
      </c>
      <c r="CJ30" s="7">
        <v>11.989000000000001</v>
      </c>
      <c r="CK30">
        <v>11.989000000000001</v>
      </c>
      <c r="CL30" s="8">
        <v>0</v>
      </c>
      <c r="CM30">
        <v>21.555</v>
      </c>
      <c r="CN30">
        <v>21.555</v>
      </c>
      <c r="CO30">
        <v>0</v>
      </c>
      <c r="CP30" s="7">
        <v>11.991</v>
      </c>
      <c r="CQ30">
        <v>11.991</v>
      </c>
      <c r="CR30" s="8">
        <v>0</v>
      </c>
      <c r="CS30" s="1"/>
      <c r="CT30">
        <v>9.9149999999999991</v>
      </c>
      <c r="CU30">
        <v>9.9149999999999991</v>
      </c>
      <c r="CV30">
        <v>0</v>
      </c>
      <c r="CW30" s="7">
        <v>6.27</v>
      </c>
      <c r="CX30">
        <v>6.27</v>
      </c>
      <c r="CY30" s="8">
        <v>0</v>
      </c>
      <c r="CZ30">
        <v>12.398</v>
      </c>
      <c r="DA30">
        <v>12.398</v>
      </c>
      <c r="DB30">
        <v>0</v>
      </c>
      <c r="DC30" s="7">
        <v>7.9180000000000001</v>
      </c>
      <c r="DD30">
        <v>7.9180000000000001</v>
      </c>
      <c r="DE30" s="8">
        <v>0</v>
      </c>
      <c r="DF30">
        <v>12.404</v>
      </c>
      <c r="DG30">
        <v>12.404</v>
      </c>
      <c r="DH30">
        <v>0</v>
      </c>
      <c r="DI30" s="7">
        <v>7.923</v>
      </c>
      <c r="DJ30">
        <v>7.923</v>
      </c>
      <c r="DK30" s="8">
        <v>0</v>
      </c>
      <c r="DL30">
        <v>9.6039999999999992</v>
      </c>
      <c r="DM30">
        <v>9.6039999999999992</v>
      </c>
      <c r="DN30">
        <v>0</v>
      </c>
      <c r="DO30" s="7">
        <v>6.1529999999999996</v>
      </c>
      <c r="DP30">
        <v>6.1529999999999996</v>
      </c>
      <c r="DQ30" s="8">
        <v>0</v>
      </c>
      <c r="DR30">
        <v>12.023</v>
      </c>
      <c r="DS30">
        <v>12.023</v>
      </c>
      <c r="DT30">
        <v>0</v>
      </c>
      <c r="DU30" s="7">
        <v>7.7880000000000003</v>
      </c>
      <c r="DV30">
        <v>7.7880000000000003</v>
      </c>
      <c r="DW30" s="8">
        <v>0</v>
      </c>
      <c r="DX30">
        <v>12.03</v>
      </c>
      <c r="DY30">
        <v>12.03</v>
      </c>
      <c r="DZ30">
        <v>0</v>
      </c>
      <c r="EA30" s="7">
        <v>7.7930000000000001</v>
      </c>
      <c r="EB30">
        <v>7.7930000000000001</v>
      </c>
      <c r="EC30" s="8">
        <v>0</v>
      </c>
      <c r="ED30" s="1"/>
    </row>
    <row r="31" spans="1:135" x14ac:dyDescent="0.2">
      <c r="A31" s="1"/>
      <c r="B31">
        <v>260</v>
      </c>
      <c r="C31" s="3">
        <v>5.3595075170000002E-6</v>
      </c>
      <c r="D31" s="3">
        <v>6.3057666830000002E-6</v>
      </c>
      <c r="E31" s="3">
        <v>8.1664617669999996E-6</v>
      </c>
      <c r="F31" s="3">
        <v>4.8868689199999997E-6</v>
      </c>
      <c r="G31" s="3">
        <v>7.20193695E-6</v>
      </c>
      <c r="H31" s="3">
        <v>9.8905465559999995E-6</v>
      </c>
      <c r="I31" s="3">
        <v>7.0193146749999998E-6</v>
      </c>
      <c r="J31" s="3">
        <v>9.1563388670000004E-6</v>
      </c>
      <c r="K31" s="3">
        <v>1.1991651840999999E-5</v>
      </c>
      <c r="L31" s="3">
        <v>0.53754873292882799</v>
      </c>
      <c r="M31" s="3">
        <v>0.56386040722473296</v>
      </c>
      <c r="N31" s="3">
        <v>0.47285613315744102</v>
      </c>
      <c r="O31" s="3">
        <v>0.40229268957251801</v>
      </c>
      <c r="P31" s="3">
        <v>0.53146669902150201</v>
      </c>
      <c r="Q31" s="3">
        <v>0.46337794450474001</v>
      </c>
      <c r="R31" s="3">
        <v>0.55273325991849098</v>
      </c>
      <c r="S31" s="3">
        <v>0.65313054836940898</v>
      </c>
      <c r="T31" s="3">
        <v>0.54126461011377003</v>
      </c>
      <c r="U31" s="1"/>
      <c r="V31" s="1"/>
      <c r="W31" s="3">
        <f t="shared" si="0"/>
        <v>450</v>
      </c>
      <c r="X31">
        <v>28.146999999999998</v>
      </c>
      <c r="Y31">
        <v>28.146999999999998</v>
      </c>
      <c r="Z31" s="8">
        <v>0</v>
      </c>
      <c r="AA31">
        <v>15.284000000000001</v>
      </c>
      <c r="AB31">
        <v>15.284000000000001</v>
      </c>
      <c r="AC31" s="8">
        <v>0</v>
      </c>
      <c r="AD31">
        <v>34.93</v>
      </c>
      <c r="AE31">
        <v>34.93</v>
      </c>
      <c r="AF31" s="8">
        <v>0</v>
      </c>
      <c r="AG31">
        <v>17.677</v>
      </c>
      <c r="AH31">
        <v>17.677</v>
      </c>
      <c r="AI31" s="8">
        <v>0</v>
      </c>
      <c r="AJ31">
        <v>34.939</v>
      </c>
      <c r="AK31">
        <v>34.939</v>
      </c>
      <c r="AL31" s="8">
        <v>0</v>
      </c>
      <c r="AM31">
        <v>17.68</v>
      </c>
      <c r="AN31">
        <v>17.68</v>
      </c>
      <c r="AO31" s="8">
        <v>0</v>
      </c>
      <c r="AP31">
        <v>26.939</v>
      </c>
      <c r="AQ31">
        <v>26.939</v>
      </c>
      <c r="AR31" s="8">
        <v>0</v>
      </c>
      <c r="AS31">
        <v>14.942</v>
      </c>
      <c r="AT31">
        <v>14.942</v>
      </c>
      <c r="AU31" s="8">
        <v>0</v>
      </c>
      <c r="AV31">
        <v>33.252000000000002</v>
      </c>
      <c r="AW31">
        <v>33.252000000000002</v>
      </c>
      <c r="AX31" s="8">
        <v>0</v>
      </c>
      <c r="AY31">
        <v>17.213000000000001</v>
      </c>
      <c r="AZ31">
        <v>17.213000000000001</v>
      </c>
      <c r="BA31" s="8">
        <v>0</v>
      </c>
      <c r="BB31">
        <v>33.26</v>
      </c>
      <c r="BC31">
        <v>33.26</v>
      </c>
      <c r="BD31" s="8">
        <v>0</v>
      </c>
      <c r="BE31">
        <v>17.216000000000001</v>
      </c>
      <c r="BF31">
        <v>17.216000000000001</v>
      </c>
      <c r="BG31">
        <v>0</v>
      </c>
      <c r="BH31" s="1"/>
      <c r="BI31">
        <v>17.440000000000001</v>
      </c>
      <c r="BJ31">
        <v>17.440000000000001</v>
      </c>
      <c r="BK31">
        <v>0</v>
      </c>
      <c r="BL31" s="7">
        <v>9.8829999999999991</v>
      </c>
      <c r="BM31">
        <v>9.8829999999999991</v>
      </c>
      <c r="BN31" s="8">
        <v>0</v>
      </c>
      <c r="BO31" s="7">
        <v>20.382999999999999</v>
      </c>
      <c r="BP31">
        <v>20.382999999999999</v>
      </c>
      <c r="BQ31" s="8">
        <v>0</v>
      </c>
      <c r="BR31" s="7">
        <v>11.012</v>
      </c>
      <c r="BS31">
        <v>11.012</v>
      </c>
      <c r="BT31" s="8">
        <v>0</v>
      </c>
      <c r="BU31">
        <v>20.385999999999999</v>
      </c>
      <c r="BV31">
        <v>20.385999999999999</v>
      </c>
      <c r="BW31">
        <v>0</v>
      </c>
      <c r="BX31" s="7">
        <v>11.013</v>
      </c>
      <c r="BY31">
        <v>11.013</v>
      </c>
      <c r="BZ31" s="8">
        <v>0</v>
      </c>
      <c r="CA31">
        <v>16.501999999999999</v>
      </c>
      <c r="CB31">
        <v>16.501999999999999</v>
      </c>
      <c r="CC31">
        <v>0</v>
      </c>
      <c r="CD31" s="7">
        <v>9.5950000000000006</v>
      </c>
      <c r="CE31">
        <v>9.5950000000000006</v>
      </c>
      <c r="CF31" s="8">
        <v>0</v>
      </c>
      <c r="CG31" s="7">
        <v>19.216000000000001</v>
      </c>
      <c r="CH31">
        <v>19.216000000000001</v>
      </c>
      <c r="CI31" s="8">
        <v>0</v>
      </c>
      <c r="CJ31" s="7">
        <v>10.680999999999999</v>
      </c>
      <c r="CK31">
        <v>10.680999999999999</v>
      </c>
      <c r="CL31" s="8">
        <v>0</v>
      </c>
      <c r="CM31">
        <v>19.22</v>
      </c>
      <c r="CN31">
        <v>19.22</v>
      </c>
      <c r="CO31">
        <v>0</v>
      </c>
      <c r="CP31" s="7">
        <v>10.682</v>
      </c>
      <c r="CQ31">
        <v>10.682</v>
      </c>
      <c r="CR31" s="8">
        <v>0</v>
      </c>
      <c r="CS31" s="1"/>
      <c r="CT31">
        <v>8.952</v>
      </c>
      <c r="CU31">
        <v>8.952</v>
      </c>
      <c r="CV31">
        <v>0</v>
      </c>
      <c r="CW31" s="7">
        <v>5.6539999999999999</v>
      </c>
      <c r="CX31">
        <v>5.6539999999999999</v>
      </c>
      <c r="CY31" s="8">
        <v>0</v>
      </c>
      <c r="CZ31">
        <v>11.000999999999999</v>
      </c>
      <c r="DA31">
        <v>11.000999999999999</v>
      </c>
      <c r="DB31">
        <v>0</v>
      </c>
      <c r="DC31" s="7">
        <v>7.0289999999999999</v>
      </c>
      <c r="DD31">
        <v>7.0289999999999999</v>
      </c>
      <c r="DE31" s="8">
        <v>0</v>
      </c>
      <c r="DF31">
        <v>11.005000000000001</v>
      </c>
      <c r="DG31">
        <v>11.005000000000001</v>
      </c>
      <c r="DH31">
        <v>0</v>
      </c>
      <c r="DI31" s="7">
        <v>7.0330000000000004</v>
      </c>
      <c r="DJ31">
        <v>7.0330000000000004</v>
      </c>
      <c r="DK31" s="8">
        <v>0</v>
      </c>
      <c r="DL31">
        <v>8.6999999999999993</v>
      </c>
      <c r="DM31">
        <v>8.6999999999999993</v>
      </c>
      <c r="DN31">
        <v>0</v>
      </c>
      <c r="DO31" s="7">
        <v>5.5609999999999999</v>
      </c>
      <c r="DP31">
        <v>5.5609999999999999</v>
      </c>
      <c r="DQ31" s="8">
        <v>0</v>
      </c>
      <c r="DR31">
        <v>10.702</v>
      </c>
      <c r="DS31">
        <v>10.702</v>
      </c>
      <c r="DT31">
        <v>0</v>
      </c>
      <c r="DU31" s="7">
        <v>6.9249999999999998</v>
      </c>
      <c r="DV31">
        <v>6.9249999999999998</v>
      </c>
      <c r="DW31" s="8">
        <v>0</v>
      </c>
      <c r="DX31">
        <v>10.707000000000001</v>
      </c>
      <c r="DY31">
        <v>10.707000000000001</v>
      </c>
      <c r="DZ31">
        <v>0</v>
      </c>
      <c r="EA31" s="7">
        <v>6.9290000000000003</v>
      </c>
      <c r="EB31">
        <v>6.9290000000000003</v>
      </c>
      <c r="EC31" s="8">
        <v>0</v>
      </c>
      <c r="ED31" s="1"/>
    </row>
    <row r="32" spans="1:135" x14ac:dyDescent="0.2">
      <c r="A32" s="1"/>
      <c r="B32">
        <v>270</v>
      </c>
      <c r="C32" s="3">
        <v>5.5785162500000003E-6</v>
      </c>
      <c r="D32" s="3">
        <v>6.8830592840000003E-6</v>
      </c>
      <c r="E32" s="3">
        <v>8.2679754040000004E-6</v>
      </c>
      <c r="F32" s="3">
        <v>4.3761857759999998E-6</v>
      </c>
      <c r="G32" s="3">
        <v>7.3722434820000003E-6</v>
      </c>
      <c r="H32" s="3">
        <v>9.9670826580000002E-6</v>
      </c>
      <c r="I32" s="3">
        <v>7.46881735E-6</v>
      </c>
      <c r="J32" s="3">
        <v>9.2223857950000002E-6</v>
      </c>
      <c r="K32" s="3">
        <v>1.1944140811E-5</v>
      </c>
      <c r="L32" s="3">
        <v>0.55339440168604104</v>
      </c>
      <c r="M32" s="3">
        <v>0.60901330449281299</v>
      </c>
      <c r="N32" s="3">
        <v>0.47398639392870701</v>
      </c>
      <c r="O32" s="3">
        <v>0.358159347884839</v>
      </c>
      <c r="P32" s="3">
        <v>0.54139455192659602</v>
      </c>
      <c r="Q32" s="3">
        <v>0.46477390185817902</v>
      </c>
      <c r="R32" s="3">
        <v>0.58566600067664498</v>
      </c>
      <c r="S32" s="3">
        <v>0.65560788208963305</v>
      </c>
      <c r="T32" s="3">
        <v>0.53706462174991798</v>
      </c>
      <c r="U32" s="1"/>
      <c r="V32" s="1"/>
      <c r="W32" s="3">
        <f t="shared" si="0"/>
        <v>500</v>
      </c>
      <c r="X32">
        <v>25.715</v>
      </c>
      <c r="Y32">
        <v>25.715</v>
      </c>
      <c r="Z32" s="8">
        <v>0</v>
      </c>
      <c r="AA32">
        <v>13.916</v>
      </c>
      <c r="AB32">
        <v>13.916</v>
      </c>
      <c r="AC32" s="8">
        <v>0</v>
      </c>
      <c r="AD32">
        <v>31.277999999999999</v>
      </c>
      <c r="AE32">
        <v>31.277999999999999</v>
      </c>
      <c r="AF32" s="8">
        <v>0</v>
      </c>
      <c r="AG32">
        <v>15.882</v>
      </c>
      <c r="AH32">
        <v>15.882</v>
      </c>
      <c r="AI32" s="8">
        <v>0</v>
      </c>
      <c r="AJ32">
        <v>31.283999999999999</v>
      </c>
      <c r="AK32">
        <v>31.283999999999999</v>
      </c>
      <c r="AL32" s="8">
        <v>0</v>
      </c>
      <c r="AM32">
        <v>15.884</v>
      </c>
      <c r="AN32">
        <v>15.884</v>
      </c>
      <c r="AO32" s="8">
        <v>0</v>
      </c>
      <c r="AP32">
        <v>24.687999999999999</v>
      </c>
      <c r="AQ32">
        <v>24.687999999999999</v>
      </c>
      <c r="AR32" s="8">
        <v>0</v>
      </c>
      <c r="AS32">
        <v>13.628</v>
      </c>
      <c r="AT32">
        <v>13.628</v>
      </c>
      <c r="AU32" s="8">
        <v>0</v>
      </c>
      <c r="AV32">
        <v>29.893000000000001</v>
      </c>
      <c r="AW32">
        <v>29.893000000000001</v>
      </c>
      <c r="AX32" s="8">
        <v>0</v>
      </c>
      <c r="AY32">
        <v>15.503</v>
      </c>
      <c r="AZ32">
        <v>15.503</v>
      </c>
      <c r="BA32" s="8">
        <v>0</v>
      </c>
      <c r="BB32">
        <v>29.9</v>
      </c>
      <c r="BC32">
        <v>29.9</v>
      </c>
      <c r="BD32" s="8">
        <v>0</v>
      </c>
      <c r="BE32">
        <v>15.505000000000001</v>
      </c>
      <c r="BF32">
        <v>15.505000000000001</v>
      </c>
      <c r="BG32">
        <v>0</v>
      </c>
      <c r="BH32" s="1"/>
      <c r="BI32">
        <v>15.891999999999999</v>
      </c>
      <c r="BJ32">
        <v>15.891999999999999</v>
      </c>
      <c r="BK32">
        <v>0</v>
      </c>
      <c r="BL32" s="7">
        <v>8.9749999999999996</v>
      </c>
      <c r="BM32">
        <v>8.9749999999999996</v>
      </c>
      <c r="BN32" s="8">
        <v>0</v>
      </c>
      <c r="BO32" s="7">
        <v>18.306000000000001</v>
      </c>
      <c r="BP32">
        <v>18.306000000000001</v>
      </c>
      <c r="BQ32" s="8">
        <v>0</v>
      </c>
      <c r="BR32" s="7">
        <v>9.9019999999999992</v>
      </c>
      <c r="BS32">
        <v>9.9019999999999992</v>
      </c>
      <c r="BT32" s="8">
        <v>0</v>
      </c>
      <c r="BU32">
        <v>18.309000000000001</v>
      </c>
      <c r="BV32">
        <v>18.309000000000001</v>
      </c>
      <c r="BW32">
        <v>0</v>
      </c>
      <c r="BX32" s="7">
        <v>9.9030000000000005</v>
      </c>
      <c r="BY32">
        <v>9.9030000000000005</v>
      </c>
      <c r="BZ32" s="8">
        <v>0</v>
      </c>
      <c r="CA32">
        <v>15.102</v>
      </c>
      <c r="CB32">
        <v>15.102</v>
      </c>
      <c r="CC32">
        <v>0</v>
      </c>
      <c r="CD32" s="7">
        <v>8.7360000000000007</v>
      </c>
      <c r="CE32">
        <v>8.7360000000000007</v>
      </c>
      <c r="CF32" s="8">
        <v>0</v>
      </c>
      <c r="CG32" s="7">
        <v>17.344999999999999</v>
      </c>
      <c r="CH32">
        <v>17.344999999999999</v>
      </c>
      <c r="CI32" s="8">
        <v>0</v>
      </c>
      <c r="CJ32" s="7">
        <v>9.6310000000000002</v>
      </c>
      <c r="CK32">
        <v>9.6310000000000002</v>
      </c>
      <c r="CL32" s="8">
        <v>0</v>
      </c>
      <c r="CM32">
        <v>17.347999999999999</v>
      </c>
      <c r="CN32">
        <v>17.347999999999999</v>
      </c>
      <c r="CO32">
        <v>0</v>
      </c>
      <c r="CP32" s="7">
        <v>9.6319999999999997</v>
      </c>
      <c r="CQ32">
        <v>9.6319999999999997</v>
      </c>
      <c r="CR32" s="8">
        <v>0</v>
      </c>
      <c r="CS32" s="1"/>
      <c r="CT32">
        <v>8.1639999999999997</v>
      </c>
      <c r="CU32">
        <v>8.1639999999999997</v>
      </c>
      <c r="CV32">
        <v>0</v>
      </c>
      <c r="CW32" s="7">
        <v>5.1520000000000001</v>
      </c>
      <c r="CX32">
        <v>5.1520000000000001</v>
      </c>
      <c r="CY32" s="8">
        <v>0</v>
      </c>
      <c r="CZ32">
        <v>9.8879999999999999</v>
      </c>
      <c r="DA32">
        <v>9.8879999999999999</v>
      </c>
      <c r="DB32">
        <v>0</v>
      </c>
      <c r="DC32" s="7">
        <v>6.32</v>
      </c>
      <c r="DD32">
        <v>6.32</v>
      </c>
      <c r="DE32" s="8">
        <v>0</v>
      </c>
      <c r="DF32">
        <v>9.8919999999999995</v>
      </c>
      <c r="DG32">
        <v>9.8919999999999995</v>
      </c>
      <c r="DH32">
        <v>0</v>
      </c>
      <c r="DI32" s="7">
        <v>6.3239999999999998</v>
      </c>
      <c r="DJ32">
        <v>6.3239999999999998</v>
      </c>
      <c r="DK32" s="8">
        <v>0</v>
      </c>
      <c r="DL32">
        <v>7.9550000000000001</v>
      </c>
      <c r="DM32">
        <v>7.9550000000000001</v>
      </c>
      <c r="DN32">
        <v>0</v>
      </c>
      <c r="DO32" s="7">
        <v>5.0750000000000002</v>
      </c>
      <c r="DP32">
        <v>5.0750000000000002</v>
      </c>
      <c r="DQ32" s="8">
        <v>0</v>
      </c>
      <c r="DR32">
        <v>9.6440000000000001</v>
      </c>
      <c r="DS32">
        <v>9.6440000000000001</v>
      </c>
      <c r="DT32">
        <v>0</v>
      </c>
      <c r="DU32" s="7">
        <v>6.2359999999999998</v>
      </c>
      <c r="DV32">
        <v>6.2359999999999998</v>
      </c>
      <c r="DW32" s="8">
        <v>0</v>
      </c>
      <c r="DX32">
        <v>9.6479999999999997</v>
      </c>
      <c r="DY32">
        <v>9.6479999999999997</v>
      </c>
      <c r="DZ32">
        <v>0</v>
      </c>
      <c r="EA32" s="7">
        <v>6.2389999999999999</v>
      </c>
      <c r="EB32">
        <v>6.2389999999999999</v>
      </c>
      <c r="EC32" s="8">
        <v>0</v>
      </c>
      <c r="ED32" s="1"/>
    </row>
    <row r="33" spans="1:134" x14ac:dyDescent="0.2">
      <c r="A33" s="1"/>
      <c r="B33">
        <v>280</v>
      </c>
      <c r="C33" s="3">
        <v>5.4465202179999997E-6</v>
      </c>
      <c r="D33" s="3">
        <v>6.0690923890000003E-6</v>
      </c>
      <c r="E33" s="3">
        <v>8.3657394910000004E-6</v>
      </c>
      <c r="F33" s="3">
        <v>5.3723413479999999E-6</v>
      </c>
      <c r="G33" s="3">
        <v>7.185221735E-6</v>
      </c>
      <c r="H33" s="3">
        <v>1.0079547701000001E-5</v>
      </c>
      <c r="I33" s="3">
        <v>6.6209734389999997E-6</v>
      </c>
      <c r="J33" s="3">
        <v>9.2746623840000002E-6</v>
      </c>
      <c r="K33" s="3">
        <v>1.1984047194000001E-5</v>
      </c>
      <c r="L33" s="3">
        <v>0.53509959330917101</v>
      </c>
      <c r="M33" s="3">
        <v>0.531703463266887</v>
      </c>
      <c r="N33" s="3">
        <v>0.47535167741699402</v>
      </c>
      <c r="O33" s="3">
        <v>0.43760832795957699</v>
      </c>
      <c r="P33" s="3">
        <v>0.52537566319418905</v>
      </c>
      <c r="Q33" s="3">
        <v>0.468075447341532</v>
      </c>
      <c r="R33" s="3">
        <v>0.517255000695098</v>
      </c>
      <c r="S33" s="3">
        <v>0.65730554475280201</v>
      </c>
      <c r="T33" s="3">
        <v>0.53694352636511899</v>
      </c>
      <c r="U33" s="1"/>
      <c r="V33" s="1"/>
      <c r="W33" s="3">
        <f t="shared" si="0"/>
        <v>550</v>
      </c>
      <c r="X33">
        <v>23.678999999999998</v>
      </c>
      <c r="Y33">
        <v>23.678999999999998</v>
      </c>
      <c r="Z33" s="8">
        <v>0</v>
      </c>
      <c r="AA33">
        <v>12.773999999999999</v>
      </c>
      <c r="AB33">
        <v>12.773999999999999</v>
      </c>
      <c r="AC33" s="8">
        <v>0</v>
      </c>
      <c r="AD33">
        <v>28.327000000000002</v>
      </c>
      <c r="AE33">
        <v>28.327000000000002</v>
      </c>
      <c r="AF33" s="8">
        <v>0</v>
      </c>
      <c r="AG33">
        <v>14.419</v>
      </c>
      <c r="AH33">
        <v>14.419</v>
      </c>
      <c r="AI33" s="8">
        <v>0</v>
      </c>
      <c r="AJ33">
        <v>28.332999999999998</v>
      </c>
      <c r="AK33">
        <v>28.332999999999998</v>
      </c>
      <c r="AL33" s="8">
        <v>0</v>
      </c>
      <c r="AM33">
        <v>14.420999999999999</v>
      </c>
      <c r="AN33">
        <v>14.420999999999999</v>
      </c>
      <c r="AO33" s="8">
        <v>0</v>
      </c>
      <c r="AP33">
        <v>22.792999999999999</v>
      </c>
      <c r="AQ33">
        <v>22.792999999999999</v>
      </c>
      <c r="AR33" s="8">
        <v>0</v>
      </c>
      <c r="AS33">
        <v>12.529</v>
      </c>
      <c r="AT33">
        <v>12.529</v>
      </c>
      <c r="AU33" s="8">
        <v>0</v>
      </c>
      <c r="AV33">
        <v>27.164000000000001</v>
      </c>
      <c r="AW33">
        <v>27.164000000000001</v>
      </c>
      <c r="AX33" s="8">
        <v>0</v>
      </c>
      <c r="AY33">
        <v>14.103999999999999</v>
      </c>
      <c r="AZ33">
        <v>14.103999999999999</v>
      </c>
      <c r="BA33" s="8">
        <v>0</v>
      </c>
      <c r="BB33">
        <v>27.169</v>
      </c>
      <c r="BC33">
        <v>27.169</v>
      </c>
      <c r="BD33" s="8">
        <v>0</v>
      </c>
      <c r="BE33">
        <v>14.105</v>
      </c>
      <c r="BF33">
        <v>14.105</v>
      </c>
      <c r="BG33">
        <v>0</v>
      </c>
      <c r="BH33" s="1"/>
      <c r="BI33">
        <v>14.598000000000001</v>
      </c>
      <c r="BJ33">
        <v>14.598000000000001</v>
      </c>
      <c r="BK33">
        <v>0</v>
      </c>
      <c r="BL33" s="7">
        <v>8.2200000000000006</v>
      </c>
      <c r="BM33">
        <v>8.2200000000000006</v>
      </c>
      <c r="BN33" s="8">
        <v>0</v>
      </c>
      <c r="BO33" s="7">
        <v>16.616</v>
      </c>
      <c r="BP33">
        <v>16.616</v>
      </c>
      <c r="BQ33" s="8">
        <v>0</v>
      </c>
      <c r="BR33" s="7">
        <v>8.9960000000000004</v>
      </c>
      <c r="BS33">
        <v>8.9960000000000004</v>
      </c>
      <c r="BT33" s="8">
        <v>0</v>
      </c>
      <c r="BU33">
        <v>16.619</v>
      </c>
      <c r="BV33">
        <v>16.619</v>
      </c>
      <c r="BW33">
        <v>0</v>
      </c>
      <c r="BX33" s="7">
        <v>8.9969999999999999</v>
      </c>
      <c r="BY33">
        <v>8.9969999999999999</v>
      </c>
      <c r="BZ33" s="8">
        <v>0</v>
      </c>
      <c r="CA33">
        <v>13.923999999999999</v>
      </c>
      <c r="CB33">
        <v>13.923999999999999</v>
      </c>
      <c r="CC33">
        <v>0</v>
      </c>
      <c r="CD33" s="7">
        <v>8.02</v>
      </c>
      <c r="CE33">
        <v>8.02</v>
      </c>
      <c r="CF33" s="8">
        <v>0</v>
      </c>
      <c r="CG33" s="7">
        <v>15.81</v>
      </c>
      <c r="CH33">
        <v>15.81</v>
      </c>
      <c r="CI33" s="8">
        <v>0</v>
      </c>
      <c r="CJ33" s="7">
        <v>8.77</v>
      </c>
      <c r="CK33">
        <v>8.77</v>
      </c>
      <c r="CL33" s="8">
        <v>0</v>
      </c>
      <c r="CM33">
        <v>15.811999999999999</v>
      </c>
      <c r="CN33">
        <v>15.811999999999999</v>
      </c>
      <c r="CO33">
        <v>0</v>
      </c>
      <c r="CP33" s="7">
        <v>8.7710000000000008</v>
      </c>
      <c r="CQ33">
        <v>8.7710000000000008</v>
      </c>
      <c r="CR33" s="8">
        <v>0</v>
      </c>
      <c r="CS33" s="1"/>
      <c r="CT33">
        <v>7.5060000000000002</v>
      </c>
      <c r="CU33">
        <v>7.5060000000000002</v>
      </c>
      <c r="CV33">
        <v>0</v>
      </c>
      <c r="CW33" s="7">
        <v>4.7350000000000003</v>
      </c>
      <c r="CX33">
        <v>4.7350000000000003</v>
      </c>
      <c r="CY33" s="8">
        <v>0</v>
      </c>
      <c r="CZ33">
        <v>8.98</v>
      </c>
      <c r="DA33">
        <v>8.98</v>
      </c>
      <c r="DB33">
        <v>0</v>
      </c>
      <c r="DC33" s="7">
        <v>5.742</v>
      </c>
      <c r="DD33">
        <v>5.742</v>
      </c>
      <c r="DE33" s="8">
        <v>0</v>
      </c>
      <c r="DF33">
        <v>8.984</v>
      </c>
      <c r="DG33">
        <v>8.984</v>
      </c>
      <c r="DH33">
        <v>0</v>
      </c>
      <c r="DI33" s="7">
        <v>5.7450000000000001</v>
      </c>
      <c r="DJ33">
        <v>5.7450000000000001</v>
      </c>
      <c r="DK33" s="8">
        <v>0</v>
      </c>
      <c r="DL33">
        <v>7.33</v>
      </c>
      <c r="DM33">
        <v>7.33</v>
      </c>
      <c r="DN33">
        <v>0</v>
      </c>
      <c r="DO33" s="7">
        <v>4.67</v>
      </c>
      <c r="DP33">
        <v>4.67</v>
      </c>
      <c r="DQ33" s="8">
        <v>0</v>
      </c>
      <c r="DR33">
        <v>8.7780000000000005</v>
      </c>
      <c r="DS33">
        <v>8.7780000000000005</v>
      </c>
      <c r="DT33">
        <v>0</v>
      </c>
      <c r="DU33" s="7">
        <v>5.6719999999999997</v>
      </c>
      <c r="DV33">
        <v>5.6719999999999997</v>
      </c>
      <c r="DW33" s="8">
        <v>0</v>
      </c>
      <c r="DX33">
        <v>8.7810000000000006</v>
      </c>
      <c r="DY33">
        <v>8.7810000000000006</v>
      </c>
      <c r="DZ33">
        <v>0</v>
      </c>
      <c r="EA33" s="7">
        <v>5.6740000000000004</v>
      </c>
      <c r="EB33">
        <v>5.6740000000000004</v>
      </c>
      <c r="EC33" s="8">
        <v>0</v>
      </c>
      <c r="ED33" s="1"/>
    </row>
    <row r="34" spans="1:134" x14ac:dyDescent="0.2">
      <c r="A34" s="1"/>
      <c r="B34">
        <v>290</v>
      </c>
      <c r="C34" s="3">
        <v>5.5745708010000002E-6</v>
      </c>
      <c r="D34" s="3">
        <v>7.5467118369999997E-6</v>
      </c>
      <c r="E34" s="3">
        <v>8.4619193560000006E-6</v>
      </c>
      <c r="F34" s="3">
        <v>6.0689678709999999E-6</v>
      </c>
      <c r="G34" s="3">
        <v>7.6652880729999995E-6</v>
      </c>
      <c r="H34" s="3">
        <v>1.0135804725999999E-5</v>
      </c>
      <c r="I34" s="3">
        <v>4.8991069900000004E-6</v>
      </c>
      <c r="J34" s="3">
        <v>9.3251184690000007E-6</v>
      </c>
      <c r="K34" s="3">
        <v>1.2097761804E-5</v>
      </c>
      <c r="L34" s="3">
        <v>0.54274926300392501</v>
      </c>
      <c r="M34" s="3">
        <v>0.65534235146581599</v>
      </c>
      <c r="N34" s="3">
        <v>0.47702880593684599</v>
      </c>
      <c r="O34" s="3">
        <v>0.49217455754486</v>
      </c>
      <c r="P34" s="3">
        <v>0.55826886390103903</v>
      </c>
      <c r="Q34" s="3">
        <v>0.46897949253827997</v>
      </c>
      <c r="R34" s="3">
        <v>0.38118001867034901</v>
      </c>
      <c r="S34" s="3">
        <v>0.659052816660048</v>
      </c>
      <c r="T34" s="3">
        <v>0.54029002212611499</v>
      </c>
      <c r="U34" s="1"/>
      <c r="V34" s="1"/>
      <c r="W34" s="3">
        <f t="shared" si="0"/>
        <v>600</v>
      </c>
      <c r="X34">
        <v>21.946999999999999</v>
      </c>
      <c r="Y34">
        <v>21.946999999999999</v>
      </c>
      <c r="Z34" s="8">
        <v>0</v>
      </c>
      <c r="AA34">
        <v>11.807</v>
      </c>
      <c r="AB34">
        <v>11.807</v>
      </c>
      <c r="AC34" s="8">
        <v>0</v>
      </c>
      <c r="AD34">
        <v>25.891999999999999</v>
      </c>
      <c r="AE34">
        <v>25.891999999999999</v>
      </c>
      <c r="AF34" s="8">
        <v>0</v>
      </c>
      <c r="AG34">
        <v>13.204000000000001</v>
      </c>
      <c r="AH34">
        <v>13.204000000000001</v>
      </c>
      <c r="AI34" s="8">
        <v>0</v>
      </c>
      <c r="AJ34">
        <v>25.896999999999998</v>
      </c>
      <c r="AK34">
        <v>25.896999999999998</v>
      </c>
      <c r="AL34" s="8">
        <v>0</v>
      </c>
      <c r="AM34">
        <v>13.206</v>
      </c>
      <c r="AN34">
        <v>13.206</v>
      </c>
      <c r="AO34" s="8">
        <v>0</v>
      </c>
      <c r="AP34">
        <v>21.175000000000001</v>
      </c>
      <c r="AQ34">
        <v>21.175000000000001</v>
      </c>
      <c r="AR34" s="8">
        <v>0</v>
      </c>
      <c r="AS34">
        <v>11.596</v>
      </c>
      <c r="AT34">
        <v>11.596</v>
      </c>
      <c r="AU34" s="8">
        <v>0</v>
      </c>
      <c r="AV34">
        <v>24.901</v>
      </c>
      <c r="AW34">
        <v>24.901</v>
      </c>
      <c r="AX34" s="8">
        <v>0</v>
      </c>
      <c r="AY34">
        <v>12.938000000000001</v>
      </c>
      <c r="AZ34">
        <v>12.938000000000001</v>
      </c>
      <c r="BA34" s="8">
        <v>0</v>
      </c>
      <c r="BB34">
        <v>24.905000000000001</v>
      </c>
      <c r="BC34">
        <v>24.905000000000001</v>
      </c>
      <c r="BD34" s="8">
        <v>0</v>
      </c>
      <c r="BE34">
        <v>12.939</v>
      </c>
      <c r="BF34">
        <v>12.939</v>
      </c>
      <c r="BG34">
        <v>0</v>
      </c>
      <c r="BH34" s="1"/>
      <c r="BI34">
        <v>13.500999999999999</v>
      </c>
      <c r="BJ34">
        <v>13.500999999999999</v>
      </c>
      <c r="BK34">
        <v>0</v>
      </c>
      <c r="BL34" s="7">
        <v>7.5839999999999996</v>
      </c>
      <c r="BM34">
        <v>7.5839999999999996</v>
      </c>
      <c r="BN34" s="8">
        <v>0</v>
      </c>
      <c r="BO34" s="7">
        <v>15.214</v>
      </c>
      <c r="BP34">
        <v>15.214</v>
      </c>
      <c r="BQ34" s="8">
        <v>0</v>
      </c>
      <c r="BR34" s="7">
        <v>8.2420000000000009</v>
      </c>
      <c r="BS34">
        <v>8.2420000000000009</v>
      </c>
      <c r="BT34" s="8">
        <v>0</v>
      </c>
      <c r="BU34">
        <v>15.215999999999999</v>
      </c>
      <c r="BV34">
        <v>15.215999999999999</v>
      </c>
      <c r="BW34">
        <v>0</v>
      </c>
      <c r="BX34" s="7">
        <v>8.2430000000000003</v>
      </c>
      <c r="BY34">
        <v>8.2430000000000003</v>
      </c>
      <c r="BZ34" s="8">
        <v>0</v>
      </c>
      <c r="CA34">
        <v>12.919</v>
      </c>
      <c r="CB34">
        <v>12.919</v>
      </c>
      <c r="CC34">
        <v>0</v>
      </c>
      <c r="CD34" s="7">
        <v>7.4119999999999999</v>
      </c>
      <c r="CE34">
        <v>7.4119999999999999</v>
      </c>
      <c r="CF34" s="8">
        <v>0</v>
      </c>
      <c r="CG34" s="7">
        <v>14.526999999999999</v>
      </c>
      <c r="CH34">
        <v>14.526999999999999</v>
      </c>
      <c r="CI34" s="8">
        <v>0</v>
      </c>
      <c r="CJ34" s="7">
        <v>8.0510000000000002</v>
      </c>
      <c r="CK34">
        <v>8.0510000000000002</v>
      </c>
      <c r="CL34" s="8">
        <v>0</v>
      </c>
      <c r="CM34">
        <v>14.528</v>
      </c>
      <c r="CN34">
        <v>14.528</v>
      </c>
      <c r="CO34">
        <v>0</v>
      </c>
      <c r="CP34" s="7">
        <v>8.0519999999999996</v>
      </c>
      <c r="CQ34">
        <v>8.0519999999999996</v>
      </c>
      <c r="CR34" s="8">
        <v>0</v>
      </c>
      <c r="CS34" s="1"/>
      <c r="CT34">
        <v>6.9489999999999998</v>
      </c>
      <c r="CU34">
        <v>6.9489999999999998</v>
      </c>
      <c r="CV34">
        <v>0</v>
      </c>
      <c r="CW34" s="7">
        <v>4.3810000000000002</v>
      </c>
      <c r="CX34">
        <v>4.3810000000000002</v>
      </c>
      <c r="CY34" s="8">
        <v>0</v>
      </c>
      <c r="CZ34">
        <v>8.2260000000000009</v>
      </c>
      <c r="DA34">
        <v>8.2260000000000009</v>
      </c>
      <c r="DB34">
        <v>0</v>
      </c>
      <c r="DC34" s="7">
        <v>5.2610000000000001</v>
      </c>
      <c r="DD34">
        <v>5.2610000000000001</v>
      </c>
      <c r="DE34" s="8">
        <v>0</v>
      </c>
      <c r="DF34">
        <v>8.2289999999999992</v>
      </c>
      <c r="DG34">
        <v>8.2289999999999992</v>
      </c>
      <c r="DH34">
        <v>0</v>
      </c>
      <c r="DI34" s="7">
        <v>5.2629999999999999</v>
      </c>
      <c r="DJ34">
        <v>5.2629999999999999</v>
      </c>
      <c r="DK34" s="8">
        <v>0</v>
      </c>
      <c r="DL34">
        <v>6.798</v>
      </c>
      <c r="DM34">
        <v>6.798</v>
      </c>
      <c r="DN34">
        <v>0</v>
      </c>
      <c r="DO34" s="7">
        <v>4.3259999999999996</v>
      </c>
      <c r="DP34">
        <v>4.3259999999999996</v>
      </c>
      <c r="DQ34" s="8">
        <v>0</v>
      </c>
      <c r="DR34">
        <v>8.0549999999999997</v>
      </c>
      <c r="DS34">
        <v>8.0549999999999997</v>
      </c>
      <c r="DT34">
        <v>0</v>
      </c>
      <c r="DU34" s="7">
        <v>5.202</v>
      </c>
      <c r="DV34">
        <v>5.202</v>
      </c>
      <c r="DW34" s="8">
        <v>0</v>
      </c>
      <c r="DX34">
        <v>8.0579999999999998</v>
      </c>
      <c r="DY34">
        <v>8.0579999999999998</v>
      </c>
      <c r="DZ34">
        <v>0</v>
      </c>
      <c r="EA34" s="7">
        <v>5.2039999999999997</v>
      </c>
      <c r="EB34">
        <v>5.2039999999999997</v>
      </c>
      <c r="EC34" s="8">
        <v>0</v>
      </c>
      <c r="ED34" s="1"/>
    </row>
    <row r="35" spans="1:134" x14ac:dyDescent="0.2">
      <c r="A35" s="1"/>
      <c r="B35">
        <v>300</v>
      </c>
      <c r="C35" s="9">
        <v>5.7321247590000003E-6</v>
      </c>
      <c r="D35" s="9">
        <v>8.4536307960000002E-6</v>
      </c>
      <c r="E35" s="9">
        <v>8.5402980070000003E-6</v>
      </c>
      <c r="F35" s="9">
        <v>7.021291368E-6</v>
      </c>
      <c r="G35" s="9">
        <v>8.3615414209999997E-6</v>
      </c>
      <c r="H35" s="9">
        <v>1.0155581919E-5</v>
      </c>
      <c r="I35" s="9">
        <v>6.5600048740000004E-6</v>
      </c>
      <c r="J35" s="9">
        <v>9.3715515410000005E-6</v>
      </c>
      <c r="K35" s="9">
        <v>1.2211202019999999E-5</v>
      </c>
      <c r="L35" s="9">
        <v>0.55374341597240395</v>
      </c>
      <c r="M35" s="9">
        <v>0.72841172611316995</v>
      </c>
      <c r="N35" s="9">
        <v>0.478055378735535</v>
      </c>
      <c r="O35" s="9">
        <v>0.56737792905011297</v>
      </c>
      <c r="P35" s="9">
        <v>0.60710188369719198</v>
      </c>
      <c r="Q35" s="9">
        <v>0.46836704324385697</v>
      </c>
      <c r="R35" s="9">
        <v>0.50825812618836597</v>
      </c>
      <c r="S35" s="9">
        <v>0.66067639558338498</v>
      </c>
      <c r="T35" s="9">
        <v>0.54373948367401004</v>
      </c>
      <c r="U35" s="1"/>
      <c r="V35" s="1"/>
      <c r="W35" s="3">
        <f t="shared" si="0"/>
        <v>650</v>
      </c>
      <c r="X35">
        <v>20.454999999999998</v>
      </c>
      <c r="Y35">
        <v>20.454999999999998</v>
      </c>
      <c r="Z35">
        <v>0</v>
      </c>
      <c r="AA35" s="7">
        <v>10.978</v>
      </c>
      <c r="AB35">
        <v>10.978</v>
      </c>
      <c r="AC35" s="8">
        <v>0</v>
      </c>
      <c r="AD35">
        <v>23.847000000000001</v>
      </c>
      <c r="AE35">
        <v>23.847000000000001</v>
      </c>
      <c r="AF35" s="8">
        <v>0</v>
      </c>
      <c r="AG35">
        <v>12.179</v>
      </c>
      <c r="AH35">
        <v>12.179</v>
      </c>
      <c r="AI35" s="8">
        <v>0</v>
      </c>
      <c r="AJ35">
        <v>23.850999999999999</v>
      </c>
      <c r="AK35">
        <v>23.850999999999999</v>
      </c>
      <c r="AL35" s="8">
        <v>0</v>
      </c>
      <c r="AM35">
        <v>12.180999999999999</v>
      </c>
      <c r="AN35">
        <v>12.180999999999999</v>
      </c>
      <c r="AO35" s="8">
        <v>0</v>
      </c>
      <c r="AP35">
        <v>19.777000000000001</v>
      </c>
      <c r="AQ35">
        <v>19.777000000000001</v>
      </c>
      <c r="AR35" s="8">
        <v>0</v>
      </c>
      <c r="AS35">
        <v>10.794</v>
      </c>
      <c r="AT35">
        <v>10.794</v>
      </c>
      <c r="AU35" s="8">
        <v>0</v>
      </c>
      <c r="AV35">
        <v>22.991</v>
      </c>
      <c r="AW35">
        <v>22.991</v>
      </c>
      <c r="AX35" s="8">
        <v>0</v>
      </c>
      <c r="AY35">
        <v>11.951000000000001</v>
      </c>
      <c r="AZ35">
        <v>11.951000000000001</v>
      </c>
      <c r="BA35" s="8">
        <v>0</v>
      </c>
      <c r="BB35">
        <v>22.995000000000001</v>
      </c>
      <c r="BC35">
        <v>22.995000000000001</v>
      </c>
      <c r="BD35" s="8">
        <v>0</v>
      </c>
      <c r="BE35">
        <v>11.952</v>
      </c>
      <c r="BF35">
        <v>11.952</v>
      </c>
      <c r="BG35">
        <v>0</v>
      </c>
      <c r="BH35" s="1"/>
      <c r="BI35">
        <v>12.558</v>
      </c>
      <c r="BJ35">
        <v>12.558</v>
      </c>
      <c r="BK35">
        <v>0</v>
      </c>
      <c r="BL35" s="7">
        <v>7.0389999999999997</v>
      </c>
      <c r="BM35">
        <v>7.0389999999999997</v>
      </c>
      <c r="BN35" s="8">
        <v>0</v>
      </c>
      <c r="BO35" s="7">
        <v>14.031000000000001</v>
      </c>
      <c r="BP35">
        <v>14.031000000000001</v>
      </c>
      <c r="BQ35" s="8">
        <v>0</v>
      </c>
      <c r="BR35" s="7">
        <v>7.6050000000000004</v>
      </c>
      <c r="BS35">
        <v>7.6050000000000004</v>
      </c>
      <c r="BT35" s="8">
        <v>0</v>
      </c>
      <c r="BU35">
        <v>14.032</v>
      </c>
      <c r="BV35">
        <v>14.032</v>
      </c>
      <c r="BW35">
        <v>0</v>
      </c>
      <c r="BX35" s="7">
        <v>7.6059999999999999</v>
      </c>
      <c r="BY35">
        <v>7.6059999999999999</v>
      </c>
      <c r="BZ35" s="8">
        <v>0</v>
      </c>
      <c r="CA35">
        <v>12.051</v>
      </c>
      <c r="CB35">
        <v>12.051</v>
      </c>
      <c r="CC35">
        <v>0</v>
      </c>
      <c r="CD35" s="7">
        <v>6.891</v>
      </c>
      <c r="CE35">
        <v>6.891</v>
      </c>
      <c r="CF35" s="8">
        <v>0</v>
      </c>
      <c r="CG35" s="7">
        <v>13.438000000000001</v>
      </c>
      <c r="CH35">
        <v>13.438000000000001</v>
      </c>
      <c r="CI35" s="8">
        <v>0</v>
      </c>
      <c r="CJ35" s="7">
        <v>7.4409999999999998</v>
      </c>
      <c r="CK35">
        <v>7.4409999999999998</v>
      </c>
      <c r="CL35" s="8">
        <v>0</v>
      </c>
      <c r="CM35">
        <v>13.44</v>
      </c>
      <c r="CN35">
        <v>13.44</v>
      </c>
      <c r="CO35">
        <v>0</v>
      </c>
      <c r="CP35" s="7">
        <v>7.4420000000000002</v>
      </c>
      <c r="CQ35">
        <v>7.4420000000000002</v>
      </c>
      <c r="CR35" s="8">
        <v>0</v>
      </c>
      <c r="CS35" s="1"/>
      <c r="CT35">
        <v>6.47</v>
      </c>
      <c r="CU35">
        <v>6.47</v>
      </c>
      <c r="CV35">
        <v>0</v>
      </c>
      <c r="CW35" s="7">
        <v>4.0780000000000003</v>
      </c>
      <c r="CX35">
        <v>4.0780000000000003</v>
      </c>
      <c r="CY35">
        <v>0</v>
      </c>
      <c r="CZ35" s="7">
        <v>7.5890000000000004</v>
      </c>
      <c r="DA35">
        <v>7.5890000000000004</v>
      </c>
      <c r="DB35" s="8">
        <v>0</v>
      </c>
      <c r="DC35">
        <v>4.8540000000000001</v>
      </c>
      <c r="DD35">
        <v>4.8540000000000001</v>
      </c>
      <c r="DE35" s="8">
        <v>0</v>
      </c>
      <c r="DF35">
        <v>7.5910000000000002</v>
      </c>
      <c r="DG35">
        <v>7.5910000000000002</v>
      </c>
      <c r="DH35">
        <v>0</v>
      </c>
      <c r="DI35" s="7">
        <v>4.8559999999999999</v>
      </c>
      <c r="DJ35">
        <v>4.8559999999999999</v>
      </c>
      <c r="DK35" s="8">
        <v>0</v>
      </c>
      <c r="DL35">
        <v>6.34</v>
      </c>
      <c r="DM35">
        <v>6.34</v>
      </c>
      <c r="DN35">
        <v>0</v>
      </c>
      <c r="DO35" s="7">
        <v>4.0309999999999997</v>
      </c>
      <c r="DP35">
        <v>4.0309999999999997</v>
      </c>
      <c r="DQ35" s="8">
        <v>0</v>
      </c>
      <c r="DR35">
        <v>7.4429999999999996</v>
      </c>
      <c r="DS35">
        <v>7.4429999999999996</v>
      </c>
      <c r="DT35">
        <v>0</v>
      </c>
      <c r="DU35" s="7">
        <v>4.8040000000000003</v>
      </c>
      <c r="DV35">
        <v>4.8040000000000003</v>
      </c>
      <c r="DW35" s="8">
        <v>0</v>
      </c>
      <c r="DX35">
        <v>7.4450000000000003</v>
      </c>
      <c r="DY35">
        <v>7.4450000000000003</v>
      </c>
      <c r="DZ35">
        <v>0</v>
      </c>
      <c r="EA35" s="7">
        <v>4.8049999999999997</v>
      </c>
      <c r="EB35">
        <v>4.8049999999999997</v>
      </c>
      <c r="EC35" s="8">
        <v>0</v>
      </c>
      <c r="ED35" s="1"/>
    </row>
    <row r="36" spans="1:134" x14ac:dyDescent="0.2">
      <c r="A36" s="1"/>
      <c r="B36">
        <v>310</v>
      </c>
      <c r="C36" s="3">
        <v>5.5097300730000001E-6</v>
      </c>
      <c r="D36" s="3">
        <v>6.7237316750000003E-6</v>
      </c>
      <c r="E36" s="3">
        <v>8.6176460309999992E-6</v>
      </c>
      <c r="F36" s="3">
        <v>5.6227906009999999E-6</v>
      </c>
      <c r="G36" s="3">
        <v>6.6532407460000003E-6</v>
      </c>
      <c r="H36" s="3">
        <v>1.0191423015E-5</v>
      </c>
      <c r="I36" s="3">
        <v>7.6981126360000006E-6</v>
      </c>
      <c r="J36" s="3">
        <v>9.4200158289999993E-6</v>
      </c>
      <c r="K36" s="3">
        <v>1.2255415172E-5</v>
      </c>
      <c r="L36" s="3">
        <v>0.52834074942976395</v>
      </c>
      <c r="M36" s="3">
        <v>0.57558162092620602</v>
      </c>
      <c r="N36" s="3">
        <v>0.479340643673214</v>
      </c>
      <c r="O36" s="3">
        <v>0.452910794396715</v>
      </c>
      <c r="P36" s="3">
        <v>0.48160570335423197</v>
      </c>
      <c r="Q36" s="3">
        <v>0.468661329884758</v>
      </c>
      <c r="R36" s="3">
        <v>0.59480464063865002</v>
      </c>
      <c r="S36" s="3">
        <v>0.66258393589540698</v>
      </c>
      <c r="T36" s="3">
        <v>0.54423834790520098</v>
      </c>
      <c r="U36" s="1"/>
      <c r="V36" s="1"/>
      <c r="W36" s="7">
        <f t="shared" si="0"/>
        <v>700</v>
      </c>
      <c r="X36" s="7">
        <v>19.155000000000001</v>
      </c>
      <c r="Y36">
        <v>19.155000000000001</v>
      </c>
      <c r="Z36">
        <v>0</v>
      </c>
      <c r="AA36" s="7">
        <v>10.257999999999999</v>
      </c>
      <c r="AB36">
        <v>10.257999999999999</v>
      </c>
      <c r="AC36">
        <v>0</v>
      </c>
      <c r="AD36" s="7">
        <v>22.103999999999999</v>
      </c>
      <c r="AE36">
        <v>22.103999999999999</v>
      </c>
      <c r="AF36">
        <v>0</v>
      </c>
      <c r="AG36" s="7">
        <v>11.302</v>
      </c>
      <c r="AH36">
        <v>11.302</v>
      </c>
      <c r="AI36">
        <v>0</v>
      </c>
      <c r="AJ36" s="7">
        <v>22.108000000000001</v>
      </c>
      <c r="AK36">
        <v>22.108000000000001</v>
      </c>
      <c r="AL36">
        <v>0</v>
      </c>
      <c r="AM36" s="7">
        <v>11.303000000000001</v>
      </c>
      <c r="AN36">
        <v>11.303000000000001</v>
      </c>
      <c r="AO36">
        <v>0</v>
      </c>
      <c r="AP36" s="7">
        <v>18.553999999999998</v>
      </c>
      <c r="AQ36">
        <v>18.553999999999998</v>
      </c>
      <c r="AR36">
        <v>0</v>
      </c>
      <c r="AS36" s="7">
        <v>10.096</v>
      </c>
      <c r="AT36">
        <v>10.096</v>
      </c>
      <c r="AU36">
        <v>0</v>
      </c>
      <c r="AV36" s="7">
        <v>21.358000000000001</v>
      </c>
      <c r="AW36">
        <v>21.358000000000001</v>
      </c>
      <c r="AX36">
        <v>0</v>
      </c>
      <c r="AY36" s="7">
        <v>11.103999999999999</v>
      </c>
      <c r="AZ36">
        <v>11.103999999999999</v>
      </c>
      <c r="BA36">
        <v>0</v>
      </c>
      <c r="BB36" s="7">
        <v>21.361000000000001</v>
      </c>
      <c r="BC36">
        <v>21.361000000000001</v>
      </c>
      <c r="BD36">
        <v>0</v>
      </c>
      <c r="BE36" s="7">
        <v>11.105</v>
      </c>
      <c r="BF36">
        <v>11.105</v>
      </c>
      <c r="BG36" s="8">
        <v>0</v>
      </c>
      <c r="BH36" s="1"/>
      <c r="BI36" s="7">
        <v>11.74</v>
      </c>
      <c r="BJ36">
        <v>11.74</v>
      </c>
      <c r="BK36">
        <v>0</v>
      </c>
      <c r="BL36" s="7">
        <v>6.5679999999999996</v>
      </c>
      <c r="BM36">
        <v>6.5679999999999996</v>
      </c>
      <c r="BN36">
        <v>0</v>
      </c>
      <c r="BO36" s="7">
        <v>13.019</v>
      </c>
      <c r="BP36">
        <v>13.019</v>
      </c>
      <c r="BQ36">
        <v>0</v>
      </c>
      <c r="BR36" s="7">
        <v>7.06</v>
      </c>
      <c r="BS36">
        <v>7.06</v>
      </c>
      <c r="BT36">
        <v>0</v>
      </c>
      <c r="BU36" s="7">
        <v>13.02</v>
      </c>
      <c r="BV36">
        <v>13.02</v>
      </c>
      <c r="BW36">
        <v>0</v>
      </c>
      <c r="BX36" s="7">
        <v>7.06</v>
      </c>
      <c r="BY36">
        <v>7.06</v>
      </c>
      <c r="BZ36">
        <v>0</v>
      </c>
      <c r="CA36" s="7">
        <v>11.292</v>
      </c>
      <c r="CB36">
        <v>11.292</v>
      </c>
      <c r="CC36">
        <v>0</v>
      </c>
      <c r="CD36" s="7">
        <v>6.4379999999999997</v>
      </c>
      <c r="CE36">
        <v>6.4379999999999997</v>
      </c>
      <c r="CF36">
        <v>0</v>
      </c>
      <c r="CG36" s="7">
        <v>12.502000000000001</v>
      </c>
      <c r="CH36">
        <v>12.502000000000001</v>
      </c>
      <c r="CI36">
        <v>0</v>
      </c>
      <c r="CJ36" s="7">
        <v>6.9180000000000001</v>
      </c>
      <c r="CK36">
        <v>6.9180000000000001</v>
      </c>
      <c r="CL36">
        <v>0</v>
      </c>
      <c r="CM36" s="7">
        <v>12.504</v>
      </c>
      <c r="CN36">
        <v>12.504</v>
      </c>
      <c r="CO36">
        <v>0</v>
      </c>
      <c r="CP36" s="7">
        <v>6.9180000000000001</v>
      </c>
      <c r="CQ36">
        <v>6.9180000000000001</v>
      </c>
      <c r="CR36" s="8">
        <v>0</v>
      </c>
      <c r="CS36" s="1"/>
      <c r="CT36" s="7">
        <v>6.0540000000000003</v>
      </c>
      <c r="CU36">
        <v>6.0540000000000003</v>
      </c>
      <c r="CV36">
        <v>0</v>
      </c>
      <c r="CW36" s="7">
        <v>3.8149999999999999</v>
      </c>
      <c r="CX36">
        <v>3.8149999999999999</v>
      </c>
      <c r="CY36">
        <v>0</v>
      </c>
      <c r="CZ36" s="7">
        <v>7.0439999999999996</v>
      </c>
      <c r="DA36">
        <v>7.0439999999999996</v>
      </c>
      <c r="DB36">
        <v>0</v>
      </c>
      <c r="DC36" s="7">
        <v>4.5060000000000002</v>
      </c>
      <c r="DD36">
        <v>4.5060000000000002</v>
      </c>
      <c r="DE36">
        <v>0</v>
      </c>
      <c r="DF36" s="7">
        <v>7.0460000000000003</v>
      </c>
      <c r="DG36">
        <v>7.0460000000000003</v>
      </c>
      <c r="DH36">
        <v>0</v>
      </c>
      <c r="DI36" s="7">
        <v>4.508</v>
      </c>
      <c r="DJ36">
        <v>4.508</v>
      </c>
      <c r="DK36">
        <v>0</v>
      </c>
      <c r="DL36" s="7">
        <v>5.9409999999999998</v>
      </c>
      <c r="DM36">
        <v>5.9409999999999998</v>
      </c>
      <c r="DN36">
        <v>0</v>
      </c>
      <c r="DO36" s="7">
        <v>3.774</v>
      </c>
      <c r="DP36">
        <v>3.774</v>
      </c>
      <c r="DQ36">
        <v>0</v>
      </c>
      <c r="DR36" s="7">
        <v>6.9169999999999998</v>
      </c>
      <c r="DS36">
        <v>6.9169999999999998</v>
      </c>
      <c r="DT36">
        <v>0</v>
      </c>
      <c r="DU36" s="7">
        <v>4.4619999999999997</v>
      </c>
      <c r="DV36">
        <v>4.4619999999999997</v>
      </c>
      <c r="DW36">
        <v>0</v>
      </c>
      <c r="DX36" s="7">
        <v>6.9189999999999996</v>
      </c>
      <c r="DY36">
        <v>6.9189999999999996</v>
      </c>
      <c r="DZ36">
        <v>0</v>
      </c>
      <c r="EA36" s="7">
        <v>4.4640000000000004</v>
      </c>
      <c r="EB36">
        <v>4.4640000000000004</v>
      </c>
      <c r="EC36" s="8">
        <v>0</v>
      </c>
      <c r="ED36" s="1"/>
    </row>
    <row r="37" spans="1:134" x14ac:dyDescent="0.2">
      <c r="A37" s="1"/>
      <c r="B37">
        <v>320</v>
      </c>
      <c r="C37" s="3">
        <v>5.6060320690000004E-6</v>
      </c>
      <c r="D37" s="3">
        <v>6.7748941810000001E-6</v>
      </c>
      <c r="E37" s="3">
        <v>8.684583928E-6</v>
      </c>
      <c r="F37" s="3">
        <v>5.0685629259999996E-6</v>
      </c>
      <c r="G37" s="3">
        <v>6.0440997050000004E-6</v>
      </c>
      <c r="H37" s="3">
        <v>1.0221253984999999E-5</v>
      </c>
      <c r="I37" s="3">
        <v>6.3910304570000001E-6</v>
      </c>
      <c r="J37" s="3">
        <v>9.4636320620000008E-6</v>
      </c>
      <c r="K37" s="3">
        <v>1.2256657625000001E-5</v>
      </c>
      <c r="L37" s="3">
        <v>0.53403887606541001</v>
      </c>
      <c r="M37" s="3">
        <v>0.57598734665051798</v>
      </c>
      <c r="N37" s="3">
        <v>0.48033376885308499</v>
      </c>
      <c r="O37" s="3">
        <v>0.40671924269019299</v>
      </c>
      <c r="P37" s="3">
        <v>0.43595439877445402</v>
      </c>
      <c r="Q37" s="3">
        <v>0.46882485465319002</v>
      </c>
      <c r="R37" s="3">
        <v>0.49219350797286399</v>
      </c>
      <c r="S37" s="3">
        <v>0.664285064598097</v>
      </c>
      <c r="T37" s="3">
        <v>0.54289447377716804</v>
      </c>
      <c r="U37" s="1"/>
      <c r="V37" s="1"/>
      <c r="W37" s="3">
        <f t="shared" si="0"/>
        <v>750</v>
      </c>
      <c r="X37">
        <v>18.013000000000002</v>
      </c>
      <c r="Y37">
        <v>18.013000000000002</v>
      </c>
      <c r="Z37" s="8">
        <v>0</v>
      </c>
      <c r="AA37">
        <v>9.6270000000000007</v>
      </c>
      <c r="AB37">
        <v>9.6270000000000007</v>
      </c>
      <c r="AC37" s="8">
        <v>0</v>
      </c>
      <c r="AD37">
        <v>20.600999999999999</v>
      </c>
      <c r="AE37">
        <v>20.600999999999999</v>
      </c>
      <c r="AF37" s="8">
        <v>0</v>
      </c>
      <c r="AG37">
        <v>10.542999999999999</v>
      </c>
      <c r="AH37">
        <v>10.542999999999999</v>
      </c>
      <c r="AI37" s="8">
        <v>0</v>
      </c>
      <c r="AJ37">
        <v>20.603999999999999</v>
      </c>
      <c r="AK37">
        <v>20.603999999999999</v>
      </c>
      <c r="AL37" s="8">
        <v>0</v>
      </c>
      <c r="AM37">
        <v>10.545</v>
      </c>
      <c r="AN37">
        <v>10.545</v>
      </c>
      <c r="AO37" s="8">
        <v>0</v>
      </c>
      <c r="AP37">
        <v>17.477</v>
      </c>
      <c r="AQ37">
        <v>17.477</v>
      </c>
      <c r="AR37" s="8">
        <v>0</v>
      </c>
      <c r="AS37">
        <v>9.484</v>
      </c>
      <c r="AT37">
        <v>9.484</v>
      </c>
      <c r="AU37" s="8">
        <v>0</v>
      </c>
      <c r="AV37">
        <v>19.943999999999999</v>
      </c>
      <c r="AW37">
        <v>19.943999999999999</v>
      </c>
      <c r="AX37" s="8">
        <v>0</v>
      </c>
      <c r="AY37">
        <v>10.37</v>
      </c>
      <c r="AZ37">
        <v>10.37</v>
      </c>
      <c r="BA37" s="8">
        <v>0</v>
      </c>
      <c r="BB37">
        <v>19.946999999999999</v>
      </c>
      <c r="BC37">
        <v>19.946999999999999</v>
      </c>
      <c r="BD37" s="8">
        <v>0</v>
      </c>
      <c r="BE37">
        <v>10.371</v>
      </c>
      <c r="BF37">
        <v>10.371</v>
      </c>
      <c r="BG37">
        <v>0</v>
      </c>
      <c r="BH37" s="1"/>
      <c r="BI37">
        <v>11.022</v>
      </c>
      <c r="BJ37">
        <v>11.022</v>
      </c>
      <c r="BK37">
        <v>0</v>
      </c>
      <c r="BL37" s="7">
        <v>6.1559999999999997</v>
      </c>
      <c r="BM37">
        <v>6.1559999999999997</v>
      </c>
      <c r="BN37" s="8">
        <v>0</v>
      </c>
      <c r="BO37" s="7">
        <v>12.144</v>
      </c>
      <c r="BP37">
        <v>12.144</v>
      </c>
      <c r="BQ37" s="8">
        <v>0</v>
      </c>
      <c r="BR37" s="7">
        <v>6.5869999999999997</v>
      </c>
      <c r="BS37">
        <v>6.5869999999999997</v>
      </c>
      <c r="BT37" s="8">
        <v>0</v>
      </c>
      <c r="BU37">
        <v>12.145</v>
      </c>
      <c r="BV37">
        <v>12.145</v>
      </c>
      <c r="BW37">
        <v>0</v>
      </c>
      <c r="BX37" s="7">
        <v>6.5880000000000001</v>
      </c>
      <c r="BY37">
        <v>6.5880000000000001</v>
      </c>
      <c r="BZ37" s="8">
        <v>0</v>
      </c>
      <c r="CA37">
        <v>10.625</v>
      </c>
      <c r="CB37">
        <v>10.625</v>
      </c>
      <c r="CC37">
        <v>0</v>
      </c>
      <c r="CD37" s="7">
        <v>6.0419999999999998</v>
      </c>
      <c r="CE37">
        <v>6.0419999999999998</v>
      </c>
      <c r="CF37" s="8">
        <v>0</v>
      </c>
      <c r="CG37" s="7">
        <v>11.69</v>
      </c>
      <c r="CH37">
        <v>11.69</v>
      </c>
      <c r="CI37" s="8">
        <v>0</v>
      </c>
      <c r="CJ37" s="7">
        <v>6.4630000000000001</v>
      </c>
      <c r="CK37">
        <v>6.4630000000000001</v>
      </c>
      <c r="CL37" s="8">
        <v>0</v>
      </c>
      <c r="CM37">
        <v>11.691000000000001</v>
      </c>
      <c r="CN37">
        <v>11.691000000000001</v>
      </c>
      <c r="CO37">
        <v>0</v>
      </c>
      <c r="CP37" s="7">
        <v>6.4640000000000004</v>
      </c>
      <c r="CQ37">
        <v>6.4640000000000004</v>
      </c>
      <c r="CR37" s="8">
        <v>0</v>
      </c>
      <c r="CS37" s="1"/>
      <c r="CT37">
        <v>5.6890000000000001</v>
      </c>
      <c r="CU37">
        <v>5.6890000000000001</v>
      </c>
      <c r="CV37">
        <v>0</v>
      </c>
      <c r="CW37" s="7">
        <v>3.585</v>
      </c>
      <c r="CX37">
        <v>3.585</v>
      </c>
      <c r="CY37" s="8">
        <v>0</v>
      </c>
      <c r="CZ37">
        <v>6.5720000000000001</v>
      </c>
      <c r="DA37">
        <v>6.5720000000000001</v>
      </c>
      <c r="DB37">
        <v>0</v>
      </c>
      <c r="DC37" s="7">
        <v>4.2050000000000001</v>
      </c>
      <c r="DD37">
        <v>4.2050000000000001</v>
      </c>
      <c r="DE37" s="8">
        <v>0</v>
      </c>
      <c r="DF37">
        <v>6.5739999999999998</v>
      </c>
      <c r="DG37">
        <v>6.5739999999999998</v>
      </c>
      <c r="DH37">
        <v>0</v>
      </c>
      <c r="DI37" s="7">
        <v>4.2060000000000004</v>
      </c>
      <c r="DJ37">
        <v>4.2060000000000004</v>
      </c>
      <c r="DK37" s="8">
        <v>0</v>
      </c>
      <c r="DL37">
        <v>5.5890000000000004</v>
      </c>
      <c r="DM37">
        <v>5.5890000000000004</v>
      </c>
      <c r="DN37">
        <v>0</v>
      </c>
      <c r="DO37" s="7">
        <v>3.5489999999999999</v>
      </c>
      <c r="DP37">
        <v>3.5489999999999999</v>
      </c>
      <c r="DQ37" s="8">
        <v>0</v>
      </c>
      <c r="DR37">
        <v>6.4610000000000003</v>
      </c>
      <c r="DS37">
        <v>6.4610000000000003</v>
      </c>
      <c r="DT37">
        <v>0</v>
      </c>
      <c r="DU37" s="7">
        <v>4.1660000000000004</v>
      </c>
      <c r="DV37">
        <v>4.1660000000000004</v>
      </c>
      <c r="DW37" s="8">
        <v>0</v>
      </c>
      <c r="DX37">
        <v>6.4630000000000001</v>
      </c>
      <c r="DY37">
        <v>6.4630000000000001</v>
      </c>
      <c r="DZ37">
        <v>0</v>
      </c>
      <c r="EA37" s="7">
        <v>4.1680000000000001</v>
      </c>
      <c r="EB37">
        <v>4.1680000000000001</v>
      </c>
      <c r="EC37" s="8">
        <v>0</v>
      </c>
      <c r="ED37" s="1"/>
    </row>
    <row r="38" spans="1:134" x14ac:dyDescent="0.2">
      <c r="A38" s="1"/>
      <c r="B38">
        <v>330</v>
      </c>
      <c r="C38" s="3">
        <v>5.7005794980000001E-6</v>
      </c>
      <c r="D38" s="3">
        <v>6.8844546249999999E-6</v>
      </c>
      <c r="E38" s="3">
        <v>8.7384676699999993E-6</v>
      </c>
      <c r="F38" s="3">
        <v>5.6536163250000002E-6</v>
      </c>
      <c r="G38" s="3">
        <v>9.3867161879999993E-6</v>
      </c>
      <c r="H38" s="3">
        <v>1.0275036738999999E-5</v>
      </c>
      <c r="I38" s="3">
        <v>6.7432354020000004E-6</v>
      </c>
      <c r="J38" s="3">
        <v>9.4969769460000007E-6</v>
      </c>
      <c r="K38" s="3">
        <v>1.2312432439000001E-5</v>
      </c>
      <c r="L38" s="3">
        <v>0.53973718151760097</v>
      </c>
      <c r="M38" s="3">
        <v>0.58194344962440503</v>
      </c>
      <c r="N38" s="3">
        <v>0.480859354401943</v>
      </c>
      <c r="O38" s="3">
        <v>0.45229419106287699</v>
      </c>
      <c r="P38" s="3">
        <v>0.67527712743062396</v>
      </c>
      <c r="Q38" s="3">
        <v>0.47021437773821501</v>
      </c>
      <c r="R38" s="3">
        <v>0.517706294565767</v>
      </c>
      <c r="S38" s="3">
        <v>0.66537914358571304</v>
      </c>
      <c r="T38" s="3">
        <v>0.54407102037009103</v>
      </c>
      <c r="U38" s="1"/>
      <c r="V38" s="1"/>
      <c r="W38" s="3">
        <f t="shared" si="0"/>
        <v>800</v>
      </c>
      <c r="X38">
        <v>17.001000000000001</v>
      </c>
      <c r="Y38">
        <v>17.001000000000001</v>
      </c>
      <c r="Z38" s="8">
        <v>0</v>
      </c>
      <c r="AA38">
        <v>9.07</v>
      </c>
      <c r="AB38">
        <v>9.07</v>
      </c>
      <c r="AC38" s="8">
        <v>0</v>
      </c>
      <c r="AD38">
        <v>19.291</v>
      </c>
      <c r="AE38">
        <v>19.291</v>
      </c>
      <c r="AF38" s="8">
        <v>0</v>
      </c>
      <c r="AG38">
        <v>9.8800000000000008</v>
      </c>
      <c r="AH38">
        <v>9.8800000000000008</v>
      </c>
      <c r="AI38" s="8">
        <v>0</v>
      </c>
      <c r="AJ38">
        <v>19.294</v>
      </c>
      <c r="AK38">
        <v>19.294</v>
      </c>
      <c r="AL38" s="8">
        <v>0</v>
      </c>
      <c r="AM38">
        <v>9.8810000000000002</v>
      </c>
      <c r="AN38">
        <v>9.8810000000000002</v>
      </c>
      <c r="AO38" s="8">
        <v>0</v>
      </c>
      <c r="AP38">
        <v>16.518999999999998</v>
      </c>
      <c r="AQ38">
        <v>16.518999999999998</v>
      </c>
      <c r="AR38" s="8">
        <v>0</v>
      </c>
      <c r="AS38">
        <v>8.9420000000000002</v>
      </c>
      <c r="AT38">
        <v>8.9420000000000002</v>
      </c>
      <c r="AU38" s="8">
        <v>0</v>
      </c>
      <c r="AV38">
        <v>18.707999999999998</v>
      </c>
      <c r="AW38">
        <v>18.707999999999998</v>
      </c>
      <c r="AX38" s="8">
        <v>0</v>
      </c>
      <c r="AY38">
        <v>9.7279999999999998</v>
      </c>
      <c r="AZ38">
        <v>9.7279999999999998</v>
      </c>
      <c r="BA38" s="8">
        <v>0</v>
      </c>
      <c r="BB38">
        <v>18.71</v>
      </c>
      <c r="BC38">
        <v>18.71</v>
      </c>
      <c r="BD38" s="8">
        <v>0</v>
      </c>
      <c r="BE38">
        <v>9.7279999999999998</v>
      </c>
      <c r="BF38">
        <v>9.7279999999999998</v>
      </c>
      <c r="BG38">
        <v>0</v>
      </c>
      <c r="BH38" s="1"/>
      <c r="BI38">
        <v>10.387</v>
      </c>
      <c r="BJ38">
        <v>10.387</v>
      </c>
      <c r="BK38">
        <v>0</v>
      </c>
      <c r="BL38" s="7">
        <v>5.7930000000000001</v>
      </c>
      <c r="BM38">
        <v>5.7930000000000001</v>
      </c>
      <c r="BN38" s="8">
        <v>0</v>
      </c>
      <c r="BO38" s="7">
        <v>11.38</v>
      </c>
      <c r="BP38">
        <v>11.38</v>
      </c>
      <c r="BQ38" s="8">
        <v>0</v>
      </c>
      <c r="BR38" s="7">
        <v>6.1740000000000004</v>
      </c>
      <c r="BS38">
        <v>6.1740000000000004</v>
      </c>
      <c r="BT38" s="8">
        <v>0</v>
      </c>
      <c r="BU38">
        <v>11.381</v>
      </c>
      <c r="BV38">
        <v>11.381</v>
      </c>
      <c r="BW38">
        <v>0</v>
      </c>
      <c r="BX38" s="7">
        <v>6.1749999999999998</v>
      </c>
      <c r="BY38">
        <v>6.1749999999999998</v>
      </c>
      <c r="BZ38" s="8">
        <v>0</v>
      </c>
      <c r="CA38">
        <v>10.032</v>
      </c>
      <c r="CB38">
        <v>10.032</v>
      </c>
      <c r="CC38">
        <v>0</v>
      </c>
      <c r="CD38" s="7">
        <v>5.6920000000000002</v>
      </c>
      <c r="CE38">
        <v>5.6920000000000002</v>
      </c>
      <c r="CF38" s="8">
        <v>0</v>
      </c>
      <c r="CG38" s="7">
        <v>10.977</v>
      </c>
      <c r="CH38">
        <v>10.977</v>
      </c>
      <c r="CI38" s="8">
        <v>0</v>
      </c>
      <c r="CJ38" s="7">
        <v>6.0650000000000004</v>
      </c>
      <c r="CK38">
        <v>6.0650000000000004</v>
      </c>
      <c r="CL38" s="8">
        <v>0</v>
      </c>
      <c r="CM38">
        <v>10.978</v>
      </c>
      <c r="CN38">
        <v>10.978</v>
      </c>
      <c r="CO38">
        <v>0</v>
      </c>
      <c r="CP38" s="7">
        <v>6.0650000000000004</v>
      </c>
      <c r="CQ38">
        <v>6.0650000000000004</v>
      </c>
      <c r="CR38" s="8">
        <v>0</v>
      </c>
      <c r="CS38" s="1"/>
      <c r="CT38">
        <v>5.3659999999999997</v>
      </c>
      <c r="CU38">
        <v>5.3659999999999997</v>
      </c>
      <c r="CV38">
        <v>0</v>
      </c>
      <c r="CW38" s="7">
        <v>3.3809999999999998</v>
      </c>
      <c r="CX38">
        <v>3.3809999999999998</v>
      </c>
      <c r="CY38" s="8">
        <v>0</v>
      </c>
      <c r="CZ38">
        <v>6.1589999999999998</v>
      </c>
      <c r="DA38">
        <v>6.1589999999999998</v>
      </c>
      <c r="DB38">
        <v>0</v>
      </c>
      <c r="DC38" s="7">
        <v>3.9409999999999998</v>
      </c>
      <c r="DD38">
        <v>3.9409999999999998</v>
      </c>
      <c r="DE38" s="8">
        <v>0</v>
      </c>
      <c r="DF38">
        <v>6.1609999999999996</v>
      </c>
      <c r="DG38">
        <v>6.1609999999999996</v>
      </c>
      <c r="DH38">
        <v>0</v>
      </c>
      <c r="DI38" s="7">
        <v>3.9420000000000002</v>
      </c>
      <c r="DJ38">
        <v>3.9420000000000002</v>
      </c>
      <c r="DK38" s="8">
        <v>0</v>
      </c>
      <c r="DL38">
        <v>5.2779999999999996</v>
      </c>
      <c r="DM38">
        <v>5.2779999999999996</v>
      </c>
      <c r="DN38">
        <v>0</v>
      </c>
      <c r="DO38" s="7">
        <v>3.35</v>
      </c>
      <c r="DP38">
        <v>3.35</v>
      </c>
      <c r="DQ38" s="8">
        <v>0</v>
      </c>
      <c r="DR38">
        <v>6.0620000000000003</v>
      </c>
      <c r="DS38">
        <v>6.0620000000000003</v>
      </c>
      <c r="DT38">
        <v>0</v>
      </c>
      <c r="DU38" s="7">
        <v>3.907</v>
      </c>
      <c r="DV38">
        <v>3.907</v>
      </c>
      <c r="DW38" s="8">
        <v>0</v>
      </c>
      <c r="DX38">
        <v>6.0629999999999997</v>
      </c>
      <c r="DY38">
        <v>6.0629999999999997</v>
      </c>
      <c r="DZ38">
        <v>0</v>
      </c>
      <c r="EA38" s="7">
        <v>3.9089999999999998</v>
      </c>
      <c r="EB38">
        <v>3.9089999999999998</v>
      </c>
      <c r="EC38" s="8">
        <v>0</v>
      </c>
      <c r="ED38" s="1"/>
    </row>
    <row r="39" spans="1:134" x14ac:dyDescent="0.2">
      <c r="A39" s="1"/>
      <c r="B39">
        <v>340</v>
      </c>
      <c r="C39" s="3">
        <v>5.9571037810000002E-6</v>
      </c>
      <c r="D39" s="3">
        <v>6.9500078869999999E-6</v>
      </c>
      <c r="E39" s="3">
        <v>8.789458402E-6</v>
      </c>
      <c r="F39" s="3">
        <v>6.1098477619999998E-6</v>
      </c>
      <c r="G39" s="3">
        <v>8.7083952670000002E-6</v>
      </c>
      <c r="H39" s="3">
        <v>1.0306666144E-5</v>
      </c>
      <c r="I39" s="3">
        <v>6.9517548739999997E-6</v>
      </c>
      <c r="J39" s="3">
        <v>9.536450899E-6</v>
      </c>
      <c r="K39" s="3">
        <v>1.2375710609999999E-5</v>
      </c>
      <c r="L39" s="3">
        <v>0.56094251679526996</v>
      </c>
      <c r="M39" s="3">
        <v>0.58424642538113802</v>
      </c>
      <c r="N39" s="3">
        <v>0.48145484054642501</v>
      </c>
      <c r="O39" s="3">
        <v>0.48734876623255002</v>
      </c>
      <c r="P39" s="3">
        <v>0.62595238766037598</v>
      </c>
      <c r="Q39" s="3">
        <v>0.47071469516966102</v>
      </c>
      <c r="R39" s="3">
        <v>0.53225891775126699</v>
      </c>
      <c r="S39" s="3">
        <v>0.667010276861288</v>
      </c>
      <c r="T39" s="3">
        <v>0.54565019954699601</v>
      </c>
      <c r="U39" s="1"/>
      <c r="V39" s="1"/>
      <c r="W39" s="3">
        <f t="shared" si="0"/>
        <v>850</v>
      </c>
      <c r="X39">
        <v>16.097999999999999</v>
      </c>
      <c r="Y39">
        <v>16.097999999999999</v>
      </c>
      <c r="Z39" s="8">
        <v>0</v>
      </c>
      <c r="AA39">
        <v>8.5739999999999998</v>
      </c>
      <c r="AB39">
        <v>8.5739999999999998</v>
      </c>
      <c r="AC39" s="8">
        <v>0</v>
      </c>
      <c r="AD39">
        <v>18.138999999999999</v>
      </c>
      <c r="AE39">
        <v>18.138999999999999</v>
      </c>
      <c r="AF39" s="8">
        <v>0</v>
      </c>
      <c r="AG39">
        <v>9.2959999999999994</v>
      </c>
      <c r="AH39">
        <v>9.2959999999999994</v>
      </c>
      <c r="AI39" s="8">
        <v>0</v>
      </c>
      <c r="AJ39">
        <v>18.140999999999998</v>
      </c>
      <c r="AK39">
        <v>18.140999999999998</v>
      </c>
      <c r="AL39" s="8">
        <v>0</v>
      </c>
      <c r="AM39">
        <v>9.2970000000000006</v>
      </c>
      <c r="AN39">
        <v>9.2970000000000006</v>
      </c>
      <c r="AO39" s="8">
        <v>0</v>
      </c>
      <c r="AP39">
        <v>15.663</v>
      </c>
      <c r="AQ39">
        <v>15.663</v>
      </c>
      <c r="AR39" s="8">
        <v>0</v>
      </c>
      <c r="AS39">
        <v>8.4589999999999996</v>
      </c>
      <c r="AT39">
        <v>8.4589999999999996</v>
      </c>
      <c r="AU39" s="8">
        <v>0</v>
      </c>
      <c r="AV39">
        <v>17.617000000000001</v>
      </c>
      <c r="AW39">
        <v>17.617000000000001</v>
      </c>
      <c r="AX39" s="8">
        <v>0</v>
      </c>
      <c r="AY39">
        <v>9.16</v>
      </c>
      <c r="AZ39">
        <v>9.16</v>
      </c>
      <c r="BA39" s="8">
        <v>0</v>
      </c>
      <c r="BB39">
        <v>17.619</v>
      </c>
      <c r="BC39">
        <v>17.619</v>
      </c>
      <c r="BD39" s="8">
        <v>0</v>
      </c>
      <c r="BE39">
        <v>9.1609999999999996</v>
      </c>
      <c r="BF39">
        <v>9.1609999999999996</v>
      </c>
      <c r="BG39">
        <v>0</v>
      </c>
      <c r="BH39" s="1"/>
      <c r="BI39">
        <v>9.8219999999999992</v>
      </c>
      <c r="BJ39">
        <v>9.8219999999999992</v>
      </c>
      <c r="BK39">
        <v>0</v>
      </c>
      <c r="BL39" s="7">
        <v>5.47</v>
      </c>
      <c r="BM39">
        <v>5.47</v>
      </c>
      <c r="BN39" s="8">
        <v>0</v>
      </c>
      <c r="BO39" s="7">
        <v>10.706</v>
      </c>
      <c r="BP39">
        <v>10.706</v>
      </c>
      <c r="BQ39" s="8">
        <v>0</v>
      </c>
      <c r="BR39" s="7">
        <v>5.81</v>
      </c>
      <c r="BS39">
        <v>5.81</v>
      </c>
      <c r="BT39" s="8">
        <v>0</v>
      </c>
      <c r="BU39">
        <v>10.707000000000001</v>
      </c>
      <c r="BV39">
        <v>10.707000000000001</v>
      </c>
      <c r="BW39">
        <v>0</v>
      </c>
      <c r="BX39" s="7">
        <v>5.8109999999999999</v>
      </c>
      <c r="BY39">
        <v>5.8109999999999999</v>
      </c>
      <c r="BZ39" s="8">
        <v>0</v>
      </c>
      <c r="CA39">
        <v>9.5030000000000001</v>
      </c>
      <c r="CB39">
        <v>9.5030000000000001</v>
      </c>
      <c r="CC39">
        <v>0</v>
      </c>
      <c r="CD39" s="7">
        <v>5.38</v>
      </c>
      <c r="CE39">
        <v>5.38</v>
      </c>
      <c r="CF39" s="8">
        <v>0</v>
      </c>
      <c r="CG39" s="7">
        <v>10.346</v>
      </c>
      <c r="CH39">
        <v>10.346</v>
      </c>
      <c r="CI39" s="8">
        <v>0</v>
      </c>
      <c r="CJ39" s="7">
        <v>5.7130000000000001</v>
      </c>
      <c r="CK39">
        <v>5.7130000000000001</v>
      </c>
      <c r="CL39" s="8">
        <v>0</v>
      </c>
      <c r="CM39">
        <v>10.347</v>
      </c>
      <c r="CN39">
        <v>10.347</v>
      </c>
      <c r="CO39">
        <v>0</v>
      </c>
      <c r="CP39" s="7">
        <v>5.7130000000000001</v>
      </c>
      <c r="CQ39">
        <v>5.7130000000000001</v>
      </c>
      <c r="CR39" s="8">
        <v>0</v>
      </c>
      <c r="CS39" s="1"/>
      <c r="CT39">
        <v>5.0789999999999997</v>
      </c>
      <c r="CU39">
        <v>5.0789999999999997</v>
      </c>
      <c r="CV39">
        <v>0</v>
      </c>
      <c r="CW39" s="7">
        <v>3.2</v>
      </c>
      <c r="CX39">
        <v>3.2</v>
      </c>
      <c r="CY39" s="8">
        <v>0</v>
      </c>
      <c r="CZ39">
        <v>5.7960000000000003</v>
      </c>
      <c r="DA39">
        <v>5.7960000000000003</v>
      </c>
      <c r="DB39">
        <v>0</v>
      </c>
      <c r="DC39" s="7">
        <v>3.7090000000000001</v>
      </c>
      <c r="DD39">
        <v>3.7090000000000001</v>
      </c>
      <c r="DE39" s="8">
        <v>0</v>
      </c>
      <c r="DF39">
        <v>5.7969999999999997</v>
      </c>
      <c r="DG39">
        <v>5.7969999999999997</v>
      </c>
      <c r="DH39">
        <v>0</v>
      </c>
      <c r="DI39" s="7">
        <v>3.71</v>
      </c>
      <c r="DJ39">
        <v>3.71</v>
      </c>
      <c r="DK39" s="8">
        <v>0</v>
      </c>
      <c r="DL39">
        <v>5</v>
      </c>
      <c r="DM39">
        <v>5</v>
      </c>
      <c r="DN39">
        <v>0</v>
      </c>
      <c r="DO39" s="7">
        <v>3.1720000000000002</v>
      </c>
      <c r="DP39">
        <v>3.1720000000000002</v>
      </c>
      <c r="DQ39" s="8">
        <v>0</v>
      </c>
      <c r="DR39">
        <v>5.7089999999999996</v>
      </c>
      <c r="DS39">
        <v>5.7089999999999996</v>
      </c>
      <c r="DT39">
        <v>0</v>
      </c>
      <c r="DU39" s="7">
        <v>3.6789999999999998</v>
      </c>
      <c r="DV39">
        <v>3.6789999999999998</v>
      </c>
      <c r="DW39" s="8">
        <v>0</v>
      </c>
      <c r="DX39">
        <v>5.71</v>
      </c>
      <c r="DY39">
        <v>5.71</v>
      </c>
      <c r="DZ39">
        <v>0</v>
      </c>
      <c r="EA39" s="7">
        <v>3.68</v>
      </c>
      <c r="EB39">
        <v>3.68</v>
      </c>
      <c r="EC39" s="8">
        <v>0</v>
      </c>
      <c r="ED39" s="1"/>
    </row>
    <row r="40" spans="1:134" x14ac:dyDescent="0.2">
      <c r="A40" s="1"/>
      <c r="B40">
        <v>350</v>
      </c>
      <c r="C40" s="3">
        <v>5.969332027E-6</v>
      </c>
      <c r="D40" s="3">
        <v>5.5693784229999998E-6</v>
      </c>
      <c r="E40" s="3">
        <v>8.8485810679999998E-6</v>
      </c>
      <c r="F40" s="3">
        <v>6.4780338580000003E-6</v>
      </c>
      <c r="G40" s="3">
        <v>5.2838500840000001E-6</v>
      </c>
      <c r="H40" s="3">
        <v>1.0336258845E-5</v>
      </c>
      <c r="I40" s="3">
        <v>5.8766607610000003E-6</v>
      </c>
      <c r="J40" s="3">
        <v>9.57091758E-6</v>
      </c>
      <c r="K40" s="3">
        <v>1.2446005006E-5</v>
      </c>
      <c r="L40" s="3">
        <v>0.55930834230623605</v>
      </c>
      <c r="M40" s="3">
        <v>0.46595774272867602</v>
      </c>
      <c r="N40" s="3">
        <v>0.48270038226258</v>
      </c>
      <c r="O40" s="3">
        <v>0.51553409551235996</v>
      </c>
      <c r="P40" s="3">
        <v>0.37874748641777101</v>
      </c>
      <c r="Q40" s="3">
        <v>0.47121842652661999</v>
      </c>
      <c r="R40" s="3">
        <v>0.44870370580345997</v>
      </c>
      <c r="S40" s="3">
        <v>0.66839236439213501</v>
      </c>
      <c r="T40" s="3">
        <v>0.54762818659828505</v>
      </c>
      <c r="U40" s="1"/>
      <c r="V40" s="1"/>
      <c r="W40" s="3">
        <f t="shared" si="0"/>
        <v>900</v>
      </c>
      <c r="X40">
        <v>15.287000000000001</v>
      </c>
      <c r="Y40">
        <v>15.287000000000001</v>
      </c>
      <c r="Z40" s="8">
        <v>0</v>
      </c>
      <c r="AA40">
        <v>8.1289999999999996</v>
      </c>
      <c r="AB40">
        <v>8.1289999999999996</v>
      </c>
      <c r="AC40" s="8">
        <v>0</v>
      </c>
      <c r="AD40">
        <v>17.117000000000001</v>
      </c>
      <c r="AE40">
        <v>17.117000000000001</v>
      </c>
      <c r="AF40" s="8">
        <v>0</v>
      </c>
      <c r="AG40">
        <v>8.7769999999999992</v>
      </c>
      <c r="AH40">
        <v>8.7769999999999992</v>
      </c>
      <c r="AI40" s="8">
        <v>0</v>
      </c>
      <c r="AJ40">
        <v>17.119</v>
      </c>
      <c r="AK40">
        <v>17.119</v>
      </c>
      <c r="AL40" s="8">
        <v>0</v>
      </c>
      <c r="AM40">
        <v>8.7780000000000005</v>
      </c>
      <c r="AN40">
        <v>8.7780000000000005</v>
      </c>
      <c r="AO40" s="8">
        <v>0</v>
      </c>
      <c r="AP40">
        <v>14.891</v>
      </c>
      <c r="AQ40">
        <v>14.891</v>
      </c>
      <c r="AR40" s="8">
        <v>0</v>
      </c>
      <c r="AS40">
        <v>8.0259999999999998</v>
      </c>
      <c r="AT40">
        <v>8.0259999999999998</v>
      </c>
      <c r="AU40" s="8">
        <v>0</v>
      </c>
      <c r="AV40">
        <v>16.648</v>
      </c>
      <c r="AW40">
        <v>16.648</v>
      </c>
      <c r="AX40" s="8">
        <v>0</v>
      </c>
      <c r="AY40">
        <v>8.6560000000000006</v>
      </c>
      <c r="AZ40">
        <v>8.6560000000000006</v>
      </c>
      <c r="BA40" s="8">
        <v>0</v>
      </c>
      <c r="BB40">
        <v>16.649999999999999</v>
      </c>
      <c r="BC40">
        <v>16.649999999999999</v>
      </c>
      <c r="BD40" s="8">
        <v>0</v>
      </c>
      <c r="BE40">
        <v>8.6560000000000006</v>
      </c>
      <c r="BF40">
        <v>8.6560000000000006</v>
      </c>
      <c r="BG40">
        <v>0</v>
      </c>
      <c r="BH40" s="1"/>
      <c r="BI40">
        <v>9.3149999999999995</v>
      </c>
      <c r="BJ40">
        <v>9.3149999999999995</v>
      </c>
      <c r="BK40">
        <v>0</v>
      </c>
      <c r="BL40" s="7">
        <v>5.1820000000000004</v>
      </c>
      <c r="BM40">
        <v>5.1820000000000004</v>
      </c>
      <c r="BN40" s="8">
        <v>0</v>
      </c>
      <c r="BO40" s="7">
        <v>10.108000000000001</v>
      </c>
      <c r="BP40">
        <v>10.108000000000001</v>
      </c>
      <c r="BQ40" s="8">
        <v>0</v>
      </c>
      <c r="BR40" s="7">
        <v>5.4870000000000001</v>
      </c>
      <c r="BS40">
        <v>5.4870000000000001</v>
      </c>
      <c r="BT40" s="8">
        <v>0</v>
      </c>
      <c r="BU40">
        <v>10.109</v>
      </c>
      <c r="BV40">
        <v>10.109</v>
      </c>
      <c r="BW40">
        <v>0</v>
      </c>
      <c r="BX40" s="7">
        <v>5.4870000000000001</v>
      </c>
      <c r="BY40">
        <v>5.4870000000000001</v>
      </c>
      <c r="BZ40" s="8">
        <v>0</v>
      </c>
      <c r="CA40">
        <v>9.0269999999999992</v>
      </c>
      <c r="CB40">
        <v>9.0269999999999992</v>
      </c>
      <c r="CC40">
        <v>0</v>
      </c>
      <c r="CD40" s="7">
        <v>5.101</v>
      </c>
      <c r="CE40">
        <v>5.101</v>
      </c>
      <c r="CF40" s="8">
        <v>0</v>
      </c>
      <c r="CG40" s="7">
        <v>9.7840000000000007</v>
      </c>
      <c r="CH40">
        <v>9.7840000000000007</v>
      </c>
      <c r="CI40" s="8">
        <v>0</v>
      </c>
      <c r="CJ40" s="7">
        <v>5.399</v>
      </c>
      <c r="CK40">
        <v>5.399</v>
      </c>
      <c r="CL40" s="8">
        <v>0</v>
      </c>
      <c r="CM40">
        <v>9.7850000000000001</v>
      </c>
      <c r="CN40">
        <v>9.7850000000000001</v>
      </c>
      <c r="CO40">
        <v>0</v>
      </c>
      <c r="CP40" s="7">
        <v>5.4</v>
      </c>
      <c r="CQ40">
        <v>5.4</v>
      </c>
      <c r="CR40" s="8">
        <v>0</v>
      </c>
      <c r="CS40" s="1"/>
      <c r="CT40">
        <v>4.8209999999999997</v>
      </c>
      <c r="CU40">
        <v>4.8209999999999997</v>
      </c>
      <c r="CV40">
        <v>0</v>
      </c>
      <c r="CW40" s="7">
        <v>3.0379999999999998</v>
      </c>
      <c r="CX40">
        <v>3.0379999999999998</v>
      </c>
      <c r="CY40" s="8">
        <v>0</v>
      </c>
      <c r="CZ40">
        <v>5.4720000000000004</v>
      </c>
      <c r="DA40">
        <v>5.4720000000000004</v>
      </c>
      <c r="DB40">
        <v>0</v>
      </c>
      <c r="DC40" s="7">
        <v>3.5019999999999998</v>
      </c>
      <c r="DD40">
        <v>3.5019999999999998</v>
      </c>
      <c r="DE40" s="8">
        <v>0</v>
      </c>
      <c r="DF40">
        <v>5.4740000000000002</v>
      </c>
      <c r="DG40">
        <v>5.4740000000000002</v>
      </c>
      <c r="DH40">
        <v>0</v>
      </c>
      <c r="DI40" s="7">
        <v>3.5030000000000001</v>
      </c>
      <c r="DJ40">
        <v>3.5030000000000001</v>
      </c>
      <c r="DK40" s="8">
        <v>0</v>
      </c>
      <c r="DL40">
        <v>4.75</v>
      </c>
      <c r="DM40">
        <v>4.75</v>
      </c>
      <c r="DN40">
        <v>0</v>
      </c>
      <c r="DO40" s="7">
        <v>3.0129999999999999</v>
      </c>
      <c r="DP40">
        <v>3.0129999999999999</v>
      </c>
      <c r="DQ40" s="8">
        <v>0</v>
      </c>
      <c r="DR40">
        <v>5.3949999999999996</v>
      </c>
      <c r="DS40">
        <v>5.3949999999999996</v>
      </c>
      <c r="DT40">
        <v>0</v>
      </c>
      <c r="DU40" s="7">
        <v>3.4750000000000001</v>
      </c>
      <c r="DV40">
        <v>3.4750000000000001</v>
      </c>
      <c r="DW40" s="8">
        <v>0</v>
      </c>
      <c r="DX40">
        <v>5.3959999999999999</v>
      </c>
      <c r="DY40">
        <v>5.3959999999999999</v>
      </c>
      <c r="DZ40">
        <v>0</v>
      </c>
      <c r="EA40" s="7">
        <v>3.476</v>
      </c>
      <c r="EB40">
        <v>3.476</v>
      </c>
      <c r="EC40" s="8">
        <v>0</v>
      </c>
      <c r="ED40" s="1"/>
    </row>
    <row r="41" spans="1:134" x14ac:dyDescent="0.2">
      <c r="A41" s="1"/>
      <c r="B41">
        <v>360</v>
      </c>
      <c r="C41" s="3">
        <v>5.9888508040000002E-6</v>
      </c>
      <c r="D41" s="3">
        <v>5.0972568269999997E-6</v>
      </c>
      <c r="E41" s="3">
        <v>8.8930782710000001E-6</v>
      </c>
      <c r="F41" s="3">
        <v>5.8623309739999997E-6</v>
      </c>
      <c r="G41" s="3">
        <v>5.6083343360000002E-6</v>
      </c>
      <c r="H41" s="3">
        <v>1.0356351794E-5</v>
      </c>
      <c r="I41" s="3">
        <v>6.8159201460000003E-6</v>
      </c>
      <c r="J41" s="3">
        <v>9.6025966119999993E-6</v>
      </c>
      <c r="K41" s="3">
        <v>1.2505392824999999E-5</v>
      </c>
      <c r="L41" s="3">
        <v>0.55855734975052496</v>
      </c>
      <c r="M41" s="3">
        <v>0.42385291945470499</v>
      </c>
      <c r="N41" s="3">
        <v>0.48333867507013101</v>
      </c>
      <c r="O41" s="3">
        <v>0.465452867042634</v>
      </c>
      <c r="P41" s="3">
        <v>0.40081147488458402</v>
      </c>
      <c r="Q41" s="3">
        <v>0.47139659506187098</v>
      </c>
      <c r="R41" s="3">
        <v>0.51865739904268504</v>
      </c>
      <c r="S41" s="3">
        <v>0.66966801797178699</v>
      </c>
      <c r="T41" s="3">
        <v>0.54919408215197196</v>
      </c>
      <c r="U41" s="1"/>
      <c r="V41" s="1"/>
      <c r="W41" s="3">
        <f t="shared" si="0"/>
        <v>950</v>
      </c>
      <c r="X41">
        <v>14.554</v>
      </c>
      <c r="Y41">
        <v>14.554</v>
      </c>
      <c r="Z41" s="8">
        <v>0</v>
      </c>
      <c r="AA41">
        <v>7.7290000000000001</v>
      </c>
      <c r="AB41">
        <v>7.7290000000000001</v>
      </c>
      <c r="AC41" s="8">
        <v>0</v>
      </c>
      <c r="AD41">
        <v>16.204999999999998</v>
      </c>
      <c r="AE41">
        <v>16.204999999999998</v>
      </c>
      <c r="AF41" s="8">
        <v>0</v>
      </c>
      <c r="AG41">
        <v>8.3130000000000006</v>
      </c>
      <c r="AH41">
        <v>8.3130000000000006</v>
      </c>
      <c r="AI41" s="8">
        <v>0</v>
      </c>
      <c r="AJ41">
        <v>16.207000000000001</v>
      </c>
      <c r="AK41">
        <v>16.207000000000001</v>
      </c>
      <c r="AL41" s="8">
        <v>0</v>
      </c>
      <c r="AM41">
        <v>8.3140000000000001</v>
      </c>
      <c r="AN41">
        <v>8.3140000000000001</v>
      </c>
      <c r="AO41" s="8">
        <v>0</v>
      </c>
      <c r="AP41">
        <v>14.193</v>
      </c>
      <c r="AQ41">
        <v>14.193</v>
      </c>
      <c r="AR41" s="8">
        <v>0</v>
      </c>
      <c r="AS41">
        <v>7.6349999999999998</v>
      </c>
      <c r="AT41">
        <v>7.6349999999999998</v>
      </c>
      <c r="AU41" s="8">
        <v>0</v>
      </c>
      <c r="AV41">
        <v>15.781000000000001</v>
      </c>
      <c r="AW41">
        <v>15.781000000000001</v>
      </c>
      <c r="AX41" s="8">
        <v>0</v>
      </c>
      <c r="AY41">
        <v>8.2040000000000006</v>
      </c>
      <c r="AZ41">
        <v>8.2040000000000006</v>
      </c>
      <c r="BA41" s="8">
        <v>0</v>
      </c>
      <c r="BB41">
        <v>15.782999999999999</v>
      </c>
      <c r="BC41">
        <v>15.782999999999999</v>
      </c>
      <c r="BD41" s="8">
        <v>0</v>
      </c>
      <c r="BE41">
        <v>8.2040000000000006</v>
      </c>
      <c r="BF41">
        <v>8.2040000000000006</v>
      </c>
      <c r="BG41">
        <v>0</v>
      </c>
      <c r="BH41" s="1"/>
      <c r="BI41">
        <v>8.859</v>
      </c>
      <c r="BJ41">
        <v>8.859</v>
      </c>
      <c r="BK41">
        <v>0</v>
      </c>
      <c r="BL41" s="7">
        <v>4.923</v>
      </c>
      <c r="BM41">
        <v>4.923</v>
      </c>
      <c r="BN41" s="8">
        <v>0</v>
      </c>
      <c r="BO41" s="7">
        <v>9.5730000000000004</v>
      </c>
      <c r="BP41">
        <v>9.5730000000000004</v>
      </c>
      <c r="BQ41" s="8">
        <v>0</v>
      </c>
      <c r="BR41" s="7">
        <v>5.1970000000000001</v>
      </c>
      <c r="BS41">
        <v>5.1970000000000001</v>
      </c>
      <c r="BT41" s="8">
        <v>0</v>
      </c>
      <c r="BU41">
        <v>9.5739999999999998</v>
      </c>
      <c r="BV41">
        <v>9.5739999999999998</v>
      </c>
      <c r="BW41">
        <v>0</v>
      </c>
      <c r="BX41" s="7">
        <v>5.1980000000000004</v>
      </c>
      <c r="BY41">
        <v>5.1980000000000004</v>
      </c>
      <c r="BZ41" s="8">
        <v>0</v>
      </c>
      <c r="CA41">
        <v>8.5960000000000001</v>
      </c>
      <c r="CB41">
        <v>8.5960000000000001</v>
      </c>
      <c r="CC41">
        <v>0</v>
      </c>
      <c r="CD41" s="7">
        <v>4.8490000000000002</v>
      </c>
      <c r="CE41">
        <v>4.8490000000000002</v>
      </c>
      <c r="CF41" s="8">
        <v>0</v>
      </c>
      <c r="CG41" s="7">
        <v>9.2810000000000006</v>
      </c>
      <c r="CH41">
        <v>9.2810000000000006</v>
      </c>
      <c r="CI41" s="8">
        <v>0</v>
      </c>
      <c r="CJ41" s="7">
        <v>5.1189999999999998</v>
      </c>
      <c r="CK41">
        <v>5.1189999999999998</v>
      </c>
      <c r="CL41" s="8">
        <v>0</v>
      </c>
      <c r="CM41">
        <v>9.282</v>
      </c>
      <c r="CN41">
        <v>9.282</v>
      </c>
      <c r="CO41">
        <v>0</v>
      </c>
      <c r="CP41" s="7">
        <v>5.1189999999999998</v>
      </c>
      <c r="CQ41">
        <v>5.1189999999999998</v>
      </c>
      <c r="CR41" s="8">
        <v>0</v>
      </c>
      <c r="CS41" s="1"/>
      <c r="CT41">
        <v>4.5890000000000004</v>
      </c>
      <c r="CU41">
        <v>4.5890000000000004</v>
      </c>
      <c r="CV41">
        <v>0</v>
      </c>
      <c r="CW41" s="7">
        <v>2.8919999999999999</v>
      </c>
      <c r="CX41">
        <v>2.8919999999999999</v>
      </c>
      <c r="CY41" s="8">
        <v>0</v>
      </c>
      <c r="CZ41">
        <v>5.1840000000000002</v>
      </c>
      <c r="DA41">
        <v>5.1840000000000002</v>
      </c>
      <c r="DB41">
        <v>0</v>
      </c>
      <c r="DC41" s="7">
        <v>3.3170000000000002</v>
      </c>
      <c r="DD41">
        <v>3.3170000000000002</v>
      </c>
      <c r="DE41" s="8">
        <v>0</v>
      </c>
      <c r="DF41">
        <v>5.1849999999999996</v>
      </c>
      <c r="DG41">
        <v>5.1849999999999996</v>
      </c>
      <c r="DH41">
        <v>0</v>
      </c>
      <c r="DI41" s="7">
        <v>3.3180000000000001</v>
      </c>
      <c r="DJ41">
        <v>3.3180000000000001</v>
      </c>
      <c r="DK41" s="8">
        <v>0</v>
      </c>
      <c r="DL41">
        <v>4.5250000000000004</v>
      </c>
      <c r="DM41">
        <v>4.5250000000000004</v>
      </c>
      <c r="DN41">
        <v>0</v>
      </c>
      <c r="DO41" s="7">
        <v>2.8690000000000002</v>
      </c>
      <c r="DP41">
        <v>2.8690000000000002</v>
      </c>
      <c r="DQ41" s="8">
        <v>0</v>
      </c>
      <c r="DR41">
        <v>5.1139999999999999</v>
      </c>
      <c r="DS41">
        <v>5.1139999999999999</v>
      </c>
      <c r="DT41">
        <v>0</v>
      </c>
      <c r="DU41" s="7">
        <v>3.2930000000000001</v>
      </c>
      <c r="DV41">
        <v>3.2930000000000001</v>
      </c>
      <c r="DW41" s="8">
        <v>0</v>
      </c>
      <c r="DX41">
        <v>5.1150000000000002</v>
      </c>
      <c r="DY41">
        <v>5.1150000000000002</v>
      </c>
      <c r="DZ41">
        <v>0</v>
      </c>
      <c r="EA41" s="7">
        <v>3.294</v>
      </c>
      <c r="EB41">
        <v>3.294</v>
      </c>
      <c r="EC41" s="8">
        <v>0</v>
      </c>
      <c r="ED41" s="1"/>
    </row>
    <row r="42" spans="1:134" x14ac:dyDescent="0.2">
      <c r="A42" s="1"/>
      <c r="B42">
        <v>370</v>
      </c>
      <c r="C42" s="3">
        <v>5.8751665389999999E-6</v>
      </c>
      <c r="D42" s="3">
        <v>1.027817845E-5</v>
      </c>
      <c r="E42" s="3">
        <v>8.9284364709999998E-6</v>
      </c>
      <c r="F42" s="3">
        <v>5.8717722400000004E-6</v>
      </c>
      <c r="G42" s="3">
        <v>7.412263019E-6</v>
      </c>
      <c r="H42" s="3">
        <v>1.0365018652E-5</v>
      </c>
      <c r="I42" s="3">
        <v>7.9765026539999995E-6</v>
      </c>
      <c r="J42" s="3">
        <v>9.6352561260000002E-6</v>
      </c>
      <c r="K42" s="3">
        <v>1.2529081839E-5</v>
      </c>
      <c r="L42" s="3">
        <v>0.545661587076128</v>
      </c>
      <c r="M42" s="3">
        <v>0.85125899584892695</v>
      </c>
      <c r="N42" s="3">
        <v>0.48364182081208501</v>
      </c>
      <c r="O42" s="3">
        <v>0.46507487602917602</v>
      </c>
      <c r="P42" s="3">
        <v>0.52859933235839895</v>
      </c>
      <c r="Q42" s="3">
        <v>0.47112933073070601</v>
      </c>
      <c r="R42" s="3">
        <v>0.60588401961675398</v>
      </c>
      <c r="S42" s="3">
        <v>0.67109880457089599</v>
      </c>
      <c r="T42" s="3">
        <v>0.549260451678796</v>
      </c>
      <c r="U42" s="1"/>
      <c r="V42" s="1"/>
      <c r="W42" s="3">
        <f t="shared" si="0"/>
        <v>1000</v>
      </c>
      <c r="X42">
        <v>13.888</v>
      </c>
      <c r="Y42">
        <v>13.888</v>
      </c>
      <c r="Z42" s="8">
        <v>0</v>
      </c>
      <c r="AA42">
        <v>7.3659999999999997</v>
      </c>
      <c r="AB42">
        <v>7.3659999999999997</v>
      </c>
      <c r="AC42" s="8">
        <v>0</v>
      </c>
      <c r="AD42">
        <v>15.385999999999999</v>
      </c>
      <c r="AE42">
        <v>15.385999999999999</v>
      </c>
      <c r="AF42" s="8">
        <v>0</v>
      </c>
      <c r="AG42">
        <v>7.8959999999999999</v>
      </c>
      <c r="AH42">
        <v>7.8959999999999999</v>
      </c>
      <c r="AI42" s="8">
        <v>0</v>
      </c>
      <c r="AJ42">
        <v>15.387</v>
      </c>
      <c r="AK42">
        <v>15.387</v>
      </c>
      <c r="AL42" s="8">
        <v>0</v>
      </c>
      <c r="AM42">
        <v>7.8959999999999999</v>
      </c>
      <c r="AN42">
        <v>7.8959999999999999</v>
      </c>
      <c r="AO42" s="8">
        <v>0</v>
      </c>
      <c r="AP42">
        <v>13.558</v>
      </c>
      <c r="AQ42">
        <v>13.558</v>
      </c>
      <c r="AR42" s="8">
        <v>0</v>
      </c>
      <c r="AS42">
        <v>7.2809999999999997</v>
      </c>
      <c r="AT42">
        <v>7.2809999999999997</v>
      </c>
      <c r="AU42" s="8">
        <v>0</v>
      </c>
      <c r="AV42">
        <v>15</v>
      </c>
      <c r="AW42">
        <v>15</v>
      </c>
      <c r="AX42" s="8">
        <v>0</v>
      </c>
      <c r="AY42">
        <v>7.7969999999999997</v>
      </c>
      <c r="AZ42">
        <v>7.7969999999999997</v>
      </c>
      <c r="BA42" s="8">
        <v>0</v>
      </c>
      <c r="BB42">
        <v>15.002000000000001</v>
      </c>
      <c r="BC42">
        <v>15.002000000000001</v>
      </c>
      <c r="BD42" s="8">
        <v>0</v>
      </c>
      <c r="BE42">
        <v>7.7969999999999997</v>
      </c>
      <c r="BF42">
        <v>7.7969999999999997</v>
      </c>
      <c r="BG42">
        <v>0</v>
      </c>
      <c r="BH42" s="1"/>
      <c r="BI42">
        <v>8.4450000000000003</v>
      </c>
      <c r="BJ42">
        <v>8.4450000000000003</v>
      </c>
      <c r="BK42">
        <v>0</v>
      </c>
      <c r="BL42" s="7">
        <v>4.6879999999999997</v>
      </c>
      <c r="BM42">
        <v>4.6879999999999997</v>
      </c>
      <c r="BN42" s="8">
        <v>0</v>
      </c>
      <c r="BO42" s="7">
        <v>9.0920000000000005</v>
      </c>
      <c r="BP42">
        <v>9.0920000000000005</v>
      </c>
      <c r="BQ42" s="8">
        <v>0</v>
      </c>
      <c r="BR42" s="7">
        <v>4.9370000000000003</v>
      </c>
      <c r="BS42">
        <v>4.9370000000000003</v>
      </c>
      <c r="BT42" s="8">
        <v>0</v>
      </c>
      <c r="BU42">
        <v>9.093</v>
      </c>
      <c r="BV42">
        <v>9.093</v>
      </c>
      <c r="BW42">
        <v>0</v>
      </c>
      <c r="BX42" s="7">
        <v>4.9370000000000003</v>
      </c>
      <c r="BY42">
        <v>4.9370000000000003</v>
      </c>
      <c r="BZ42" s="8">
        <v>0</v>
      </c>
      <c r="CA42">
        <v>8.2050000000000001</v>
      </c>
      <c r="CB42">
        <v>8.2050000000000001</v>
      </c>
      <c r="CC42">
        <v>0</v>
      </c>
      <c r="CD42" s="7">
        <v>4.6210000000000004</v>
      </c>
      <c r="CE42">
        <v>4.6210000000000004</v>
      </c>
      <c r="CF42" s="8">
        <v>0</v>
      </c>
      <c r="CG42" s="7">
        <v>8.827</v>
      </c>
      <c r="CH42">
        <v>8.827</v>
      </c>
      <c r="CI42" s="8">
        <v>0</v>
      </c>
      <c r="CJ42" s="7">
        <v>4.8659999999999997</v>
      </c>
      <c r="CK42">
        <v>4.8659999999999997</v>
      </c>
      <c r="CL42" s="8">
        <v>0</v>
      </c>
      <c r="CM42">
        <v>8.8279999999999994</v>
      </c>
      <c r="CN42">
        <v>8.8279999999999994</v>
      </c>
      <c r="CO42">
        <v>0</v>
      </c>
      <c r="CP42" s="7">
        <v>4.8659999999999997</v>
      </c>
      <c r="CQ42">
        <v>4.8659999999999997</v>
      </c>
      <c r="CR42" s="8">
        <v>0</v>
      </c>
      <c r="CS42" s="1"/>
      <c r="CT42">
        <v>4.3780000000000001</v>
      </c>
      <c r="CU42">
        <v>4.3780000000000001</v>
      </c>
      <c r="CV42">
        <v>0</v>
      </c>
      <c r="CW42" s="7">
        <v>2.7589999999999999</v>
      </c>
      <c r="CX42">
        <v>2.7589999999999999</v>
      </c>
      <c r="CY42" s="8">
        <v>0</v>
      </c>
      <c r="CZ42">
        <v>4.9240000000000004</v>
      </c>
      <c r="DA42">
        <v>4.9240000000000004</v>
      </c>
      <c r="DB42">
        <v>0</v>
      </c>
      <c r="DC42" s="7">
        <v>3.1509999999999998</v>
      </c>
      <c r="DD42">
        <v>3.1509999999999998</v>
      </c>
      <c r="DE42" s="8">
        <v>0</v>
      </c>
      <c r="DF42">
        <v>4.9249999999999998</v>
      </c>
      <c r="DG42">
        <v>4.9249999999999998</v>
      </c>
      <c r="DH42">
        <v>0</v>
      </c>
      <c r="DI42" s="7">
        <v>3.1520000000000001</v>
      </c>
      <c r="DJ42">
        <v>3.1520000000000001</v>
      </c>
      <c r="DK42" s="8">
        <v>0</v>
      </c>
      <c r="DL42">
        <v>4.32</v>
      </c>
      <c r="DM42">
        <v>4.32</v>
      </c>
      <c r="DN42">
        <v>0</v>
      </c>
      <c r="DO42" s="7">
        <v>2.7389999999999999</v>
      </c>
      <c r="DP42">
        <v>2.7389999999999999</v>
      </c>
      <c r="DQ42" s="8">
        <v>0</v>
      </c>
      <c r="DR42">
        <v>4.8609999999999998</v>
      </c>
      <c r="DS42">
        <v>4.8609999999999998</v>
      </c>
      <c r="DT42">
        <v>0</v>
      </c>
      <c r="DU42" s="7">
        <v>3.129</v>
      </c>
      <c r="DV42">
        <v>3.129</v>
      </c>
      <c r="DW42" s="8">
        <v>0</v>
      </c>
      <c r="DX42">
        <v>4.8609999999999998</v>
      </c>
      <c r="DY42">
        <v>4.8609999999999998</v>
      </c>
      <c r="DZ42">
        <v>0</v>
      </c>
      <c r="EA42" s="7">
        <v>3.13</v>
      </c>
      <c r="EB42">
        <v>3.13</v>
      </c>
      <c r="EC42" s="8">
        <v>0</v>
      </c>
      <c r="ED42" s="1"/>
    </row>
    <row r="43" spans="1:134" x14ac:dyDescent="0.2">
      <c r="A43" s="1"/>
      <c r="B43">
        <v>380</v>
      </c>
      <c r="C43" s="3">
        <v>5.8752006259999996E-6</v>
      </c>
      <c r="D43" s="3">
        <v>9.6119021339999997E-6</v>
      </c>
      <c r="E43" s="3">
        <v>8.9630023370000007E-6</v>
      </c>
      <c r="F43" s="3">
        <v>5.9129464020000001E-6</v>
      </c>
      <c r="G43" s="3">
        <v>7.9221555559999994E-6</v>
      </c>
      <c r="H43" s="3">
        <v>1.0390391017E-5</v>
      </c>
      <c r="I43" s="3">
        <v>6.7632784479999999E-6</v>
      </c>
      <c r="J43" s="3">
        <v>9.6634843080000001E-6</v>
      </c>
      <c r="K43" s="3">
        <v>1.2555104597000001E-5</v>
      </c>
      <c r="L43" s="3">
        <v>0.543481938965796</v>
      </c>
      <c r="M43" s="3">
        <v>0.79479939423355095</v>
      </c>
      <c r="N43" s="3">
        <v>0.48406230374689502</v>
      </c>
      <c r="O43" s="3">
        <v>0.467393356246114</v>
      </c>
      <c r="P43" s="3">
        <v>0.56416854701053698</v>
      </c>
      <c r="Q43" s="3">
        <v>0.47170709364914898</v>
      </c>
      <c r="R43" s="3">
        <v>0.51256116239014304</v>
      </c>
      <c r="S43" s="3">
        <v>0.67229926737825896</v>
      </c>
      <c r="T43" s="3">
        <v>0.54946283197400603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</row>
    <row r="44" spans="1:134" x14ac:dyDescent="0.2">
      <c r="A44" s="1"/>
      <c r="B44">
        <v>390</v>
      </c>
      <c r="C44" s="3">
        <v>5.9869029799999996E-6</v>
      </c>
      <c r="D44" s="3">
        <v>6.1105518179999999E-6</v>
      </c>
      <c r="E44" s="3">
        <v>8.98868547E-6</v>
      </c>
      <c r="F44" s="3">
        <v>6.4894789799999999E-6</v>
      </c>
      <c r="G44" s="3">
        <v>7.2501000550000001E-6</v>
      </c>
      <c r="H44" s="3">
        <v>1.0406142744E-5</v>
      </c>
      <c r="I44" s="3">
        <v>6.5108464329999998E-6</v>
      </c>
      <c r="J44" s="3">
        <v>9.6874413499999992E-6</v>
      </c>
      <c r="K44" s="3">
        <v>1.2617276077000001E-5</v>
      </c>
      <c r="L44" s="3">
        <v>0.55183168897503299</v>
      </c>
      <c r="M44" s="3">
        <v>0.50319184966187402</v>
      </c>
      <c r="N44" s="3">
        <v>0.48413559476721602</v>
      </c>
      <c r="O44" s="3">
        <v>0.51187138079448002</v>
      </c>
      <c r="P44" s="3">
        <v>0.51555045073627004</v>
      </c>
      <c r="Q44" s="3">
        <v>0.47192028148204002</v>
      </c>
      <c r="R44" s="3">
        <v>0.49213716308900002</v>
      </c>
      <c r="S44" s="3">
        <v>0.673276730152915</v>
      </c>
      <c r="T44" s="3">
        <v>0.55131903171260999</v>
      </c>
      <c r="U44" s="1"/>
      <c r="V44" s="1"/>
    </row>
    <row r="45" spans="1:134" x14ac:dyDescent="0.2">
      <c r="A45" s="1"/>
      <c r="B45">
        <v>400</v>
      </c>
      <c r="C45" s="3">
        <v>6.0091269420000003E-6</v>
      </c>
      <c r="D45" s="3">
        <v>7.5707635170000001E-6</v>
      </c>
      <c r="E45" s="3">
        <v>9.0189938359999996E-6</v>
      </c>
      <c r="F45" s="3">
        <v>6.4235502630000003E-6</v>
      </c>
      <c r="G45" s="3">
        <v>7.0441084359999997E-6</v>
      </c>
      <c r="H45" s="3">
        <v>1.0422299452E-5</v>
      </c>
      <c r="I45" s="3">
        <v>6.9365796100000002E-6</v>
      </c>
      <c r="J45" s="3">
        <v>9.7148772849999996E-6</v>
      </c>
      <c r="K45" s="3">
        <v>1.2654921188E-5</v>
      </c>
      <c r="L45" s="3">
        <v>0.55201394825627603</v>
      </c>
      <c r="M45" s="3">
        <v>0.62141242735984603</v>
      </c>
      <c r="N45" s="3">
        <v>0.48458620008217301</v>
      </c>
      <c r="O45" s="3">
        <v>0.506004868497274</v>
      </c>
      <c r="P45" s="3">
        <v>0.50001327843166499</v>
      </c>
      <c r="Q45" s="3">
        <v>0.47222094459333003</v>
      </c>
      <c r="R45" s="3">
        <v>0.52307726947279098</v>
      </c>
      <c r="S45" s="3">
        <v>0.67456228319676403</v>
      </c>
      <c r="T45" s="3">
        <v>0.55215601292587602</v>
      </c>
      <c r="U45" s="1"/>
      <c r="V45" s="1"/>
    </row>
    <row r="46" spans="1:134" x14ac:dyDescent="0.2">
      <c r="A46" s="1"/>
      <c r="B46">
        <v>410</v>
      </c>
      <c r="C46" s="3">
        <v>5.9959683700000001E-6</v>
      </c>
      <c r="D46" s="3">
        <v>7.6781215370000007E-6</v>
      </c>
      <c r="E46" s="3">
        <v>9.0447061529999998E-6</v>
      </c>
      <c r="F46" s="3">
        <v>5.7629843229999997E-6</v>
      </c>
      <c r="G46" s="3">
        <v>7.3199008550000002E-6</v>
      </c>
      <c r="H46" s="3">
        <v>1.0426035959E-5</v>
      </c>
      <c r="I46" s="3">
        <v>7.0981232190000003E-6</v>
      </c>
      <c r="J46" s="3">
        <v>9.7399104919999992E-6</v>
      </c>
      <c r="K46" s="3">
        <v>1.2689605614999999E-5</v>
      </c>
      <c r="L46" s="3">
        <v>0.54911926747853002</v>
      </c>
      <c r="M46" s="3">
        <v>0.62856061760543802</v>
      </c>
      <c r="N46" s="3">
        <v>0.48490421498877301</v>
      </c>
      <c r="O46" s="3">
        <v>0.45307060309416097</v>
      </c>
      <c r="P46" s="3">
        <v>0.51883654852266103</v>
      </c>
      <c r="Q46" s="3">
        <v>0.47201909215092203</v>
      </c>
      <c r="R46" s="3">
        <v>0.53409763941388899</v>
      </c>
      <c r="S46" s="3">
        <v>0.67575104577269296</v>
      </c>
      <c r="T46" s="3">
        <v>0.55290722746200105</v>
      </c>
      <c r="U46" s="1"/>
      <c r="V46" s="1"/>
    </row>
    <row r="47" spans="1:134" x14ac:dyDescent="0.2">
      <c r="A47" s="1"/>
      <c r="B47">
        <v>420</v>
      </c>
      <c r="C47" s="3">
        <v>6.0855497079999999E-6</v>
      </c>
      <c r="D47" s="3">
        <v>8.3660251210000008E-6</v>
      </c>
      <c r="E47" s="3">
        <v>9.0663186139999999E-6</v>
      </c>
      <c r="F47" s="3">
        <v>6.0941695519999997E-6</v>
      </c>
      <c r="G47" s="3">
        <v>7.4264033409999999E-6</v>
      </c>
      <c r="H47" s="3">
        <v>1.0433861735000001E-5</v>
      </c>
      <c r="I47" s="3">
        <v>6.882046629E-6</v>
      </c>
      <c r="J47" s="3">
        <v>9.7622721529999998E-6</v>
      </c>
      <c r="K47" s="3">
        <v>1.2735678959E-5</v>
      </c>
      <c r="L47" s="3">
        <v>0.55568787234972705</v>
      </c>
      <c r="M47" s="3">
        <v>0.68293738935295201</v>
      </c>
      <c r="N47" s="3">
        <v>0.485106522574758</v>
      </c>
      <c r="O47" s="3">
        <v>0.47830607347770199</v>
      </c>
      <c r="P47" s="3">
        <v>0.52572593378458399</v>
      </c>
      <c r="Q47" s="3">
        <v>0.47205544278101302</v>
      </c>
      <c r="R47" s="3">
        <v>0.51674333831689201</v>
      </c>
      <c r="S47" s="3">
        <v>0.67681252886098398</v>
      </c>
      <c r="T47" s="3">
        <v>0.55419933768510499</v>
      </c>
      <c r="U47" s="1"/>
      <c r="V47" s="1"/>
    </row>
    <row r="48" spans="1:134" x14ac:dyDescent="0.2">
      <c r="A48" s="1"/>
      <c r="B48">
        <v>430</v>
      </c>
      <c r="C48" s="3">
        <v>6.1524947499999998E-6</v>
      </c>
      <c r="D48" s="3">
        <v>7.6785946169999999E-6</v>
      </c>
      <c r="E48" s="3">
        <v>9.0786209570000003E-6</v>
      </c>
      <c r="F48" s="3">
        <v>6.091310819E-6</v>
      </c>
      <c r="G48" s="3">
        <v>7.4726406110000003E-6</v>
      </c>
      <c r="H48" s="3">
        <v>1.0459330183E-5</v>
      </c>
      <c r="I48" s="3">
        <v>7.1336113719999999E-6</v>
      </c>
      <c r="J48" s="3">
        <v>9.7835326890000007E-6</v>
      </c>
      <c r="K48" s="3">
        <v>1.2762142690000001E-5</v>
      </c>
      <c r="L48" s="3">
        <v>0.56035497990624905</v>
      </c>
      <c r="M48" s="3">
        <v>0.62598803150988902</v>
      </c>
      <c r="N48" s="3">
        <v>0.48490607471416203</v>
      </c>
      <c r="O48" s="3">
        <v>0.47735746155163</v>
      </c>
      <c r="P48" s="3">
        <v>0.52838093942184605</v>
      </c>
      <c r="Q48" s="3">
        <v>0.47294616563616199</v>
      </c>
      <c r="R48" s="3">
        <v>0.53444219279586402</v>
      </c>
      <c r="S48" s="3">
        <v>0.67786002031904502</v>
      </c>
      <c r="T48" s="3">
        <v>0.55469273491047399</v>
      </c>
      <c r="U48" s="1"/>
      <c r="V48" s="1"/>
    </row>
    <row r="49" spans="1:22" x14ac:dyDescent="0.2">
      <c r="A49" s="1"/>
      <c r="B49">
        <v>440</v>
      </c>
      <c r="C49" s="3">
        <v>6.1162354369999997E-6</v>
      </c>
      <c r="D49" s="3">
        <v>6.4883875169999999E-6</v>
      </c>
      <c r="E49" s="3">
        <v>9.1059643490000007E-6</v>
      </c>
      <c r="F49" s="3">
        <v>6.0968102230000001E-6</v>
      </c>
      <c r="G49" s="3">
        <v>7.5958091549999996E-6</v>
      </c>
      <c r="H49" s="3">
        <v>1.0469230074E-5</v>
      </c>
      <c r="I49" s="3">
        <v>6.9544189879999997E-6</v>
      </c>
      <c r="J49" s="3">
        <v>9.8026949490000004E-6</v>
      </c>
      <c r="K49" s="3">
        <v>1.2785164968E-5</v>
      </c>
      <c r="L49" s="3">
        <v>0.55565735967762997</v>
      </c>
      <c r="M49" s="3">
        <v>0.52706799281115402</v>
      </c>
      <c r="N49" s="3">
        <v>0.48559216717064102</v>
      </c>
      <c r="O49" s="3">
        <v>0.47704155100096501</v>
      </c>
      <c r="P49" s="3">
        <v>0.53649957101080703</v>
      </c>
      <c r="Q49" s="3">
        <v>0.47319100405883202</v>
      </c>
      <c r="R49" s="3">
        <v>0.52008604668512304</v>
      </c>
      <c r="S49" s="3">
        <v>0.67881495955438598</v>
      </c>
      <c r="T49" s="3">
        <v>0.555058764768119</v>
      </c>
      <c r="U49" s="1"/>
      <c r="V49" s="1"/>
    </row>
    <row r="50" spans="1:22" x14ac:dyDescent="0.2">
      <c r="A50" s="1"/>
      <c r="B50">
        <v>450</v>
      </c>
      <c r="C50" s="3">
        <v>6.1720129630000001E-6</v>
      </c>
      <c r="D50" s="3">
        <v>8.2571492889999996E-6</v>
      </c>
      <c r="E50" s="3">
        <v>9.1242464370000004E-6</v>
      </c>
      <c r="F50" s="3">
        <v>6.0991154830000001E-6</v>
      </c>
      <c r="G50" s="3">
        <v>7.6375066289999995E-6</v>
      </c>
      <c r="H50" s="3">
        <v>1.0465668396E-5</v>
      </c>
      <c r="I50" s="3">
        <v>6.8760329260000001E-6</v>
      </c>
      <c r="J50" s="3">
        <v>9.8200594730000001E-6</v>
      </c>
      <c r="K50" s="3">
        <v>1.2824923645E-5</v>
      </c>
      <c r="L50" s="3">
        <v>0.55945313980003497</v>
      </c>
      <c r="M50" s="3">
        <v>0.66960507870094998</v>
      </c>
      <c r="N50" s="3">
        <v>0.48588387770447999</v>
      </c>
      <c r="O50" s="3">
        <v>0.47655189723324098</v>
      </c>
      <c r="P50" s="3">
        <v>0.53900489813374897</v>
      </c>
      <c r="Q50" s="3">
        <v>0.47286681096598998</v>
      </c>
      <c r="R50" s="3">
        <v>0.51302306617434601</v>
      </c>
      <c r="S50" s="3">
        <v>0.67970196999255605</v>
      </c>
      <c r="T50" s="3">
        <v>0.55619800171286804</v>
      </c>
      <c r="U50" s="1"/>
      <c r="V50" s="1"/>
    </row>
    <row r="51" spans="1:22" x14ac:dyDescent="0.2">
      <c r="A51" s="1"/>
      <c r="B51">
        <v>460</v>
      </c>
      <c r="C51" s="3">
        <v>6.1553278329999998E-6</v>
      </c>
      <c r="D51" s="3">
        <v>7.758046933E-6</v>
      </c>
      <c r="E51" s="3">
        <v>9.1333425589999993E-6</v>
      </c>
      <c r="F51" s="3">
        <v>6.1794659420000002E-6</v>
      </c>
      <c r="G51" s="3">
        <v>7.3743920309999996E-6</v>
      </c>
      <c r="H51" s="3">
        <v>1.0474668947E-5</v>
      </c>
      <c r="I51" s="3">
        <v>7.1956245680000004E-6</v>
      </c>
      <c r="J51" s="3">
        <v>9.8394592649999995E-6</v>
      </c>
      <c r="K51" s="3">
        <v>1.2855843285999999E-5</v>
      </c>
      <c r="L51" s="3">
        <v>0.55674271707221401</v>
      </c>
      <c r="M51" s="3">
        <v>0.62823608587702495</v>
      </c>
      <c r="N51" s="3">
        <v>0.48575034136740097</v>
      </c>
      <c r="O51" s="3">
        <v>0.48214791114490901</v>
      </c>
      <c r="P51" s="3">
        <v>0.51991284539314897</v>
      </c>
      <c r="Q51" s="3">
        <v>0.47315354407730398</v>
      </c>
      <c r="R51" s="3">
        <v>0.53592037304782503</v>
      </c>
      <c r="S51" s="3">
        <v>0.68077683952236501</v>
      </c>
      <c r="T51" s="3">
        <v>0.55699028782927296</v>
      </c>
      <c r="U51" s="1"/>
      <c r="V51" s="1"/>
    </row>
    <row r="52" spans="1:22" x14ac:dyDescent="0.2">
      <c r="A52" s="1"/>
      <c r="B52">
        <v>470</v>
      </c>
      <c r="C52" s="3">
        <v>6.1766175629999997E-6</v>
      </c>
      <c r="D52" s="3">
        <v>3.9681383300000001E-6</v>
      </c>
      <c r="E52" s="3">
        <v>9.1499256010000003E-6</v>
      </c>
      <c r="F52" s="3">
        <v>6.249816036E-6</v>
      </c>
      <c r="G52" s="3">
        <v>8.3680925180000006E-6</v>
      </c>
      <c r="H52" s="3">
        <v>1.0473061399999999E-5</v>
      </c>
      <c r="I52" s="3">
        <v>7.2354949610000003E-6</v>
      </c>
      <c r="J52" s="3">
        <v>9.8582081499999992E-6</v>
      </c>
      <c r="K52" s="3">
        <v>1.2886147634999999E-5</v>
      </c>
      <c r="L52" s="3">
        <v>0.55755386907323801</v>
      </c>
      <c r="M52" s="3">
        <v>0.32062872831467598</v>
      </c>
      <c r="N52" s="3">
        <v>0.48608842919706402</v>
      </c>
      <c r="O52" s="3">
        <v>0.48703182375211101</v>
      </c>
      <c r="P52" s="3">
        <v>0.58938725796243496</v>
      </c>
      <c r="Q52" s="3">
        <v>0.473005352707694</v>
      </c>
      <c r="R52" s="3">
        <v>0.53779272523088495</v>
      </c>
      <c r="S52" s="3">
        <v>0.681862641204802</v>
      </c>
      <c r="T52" s="3">
        <v>0.55779081386542695</v>
      </c>
      <c r="U52" s="1"/>
      <c r="V52" s="1"/>
    </row>
    <row r="53" spans="1:22" x14ac:dyDescent="0.2">
      <c r="A53" s="1"/>
      <c r="B53">
        <v>480</v>
      </c>
      <c r="C53" s="3">
        <v>6.1949743379999999E-6</v>
      </c>
      <c r="D53" s="3">
        <v>8.2862485930000008E-6</v>
      </c>
      <c r="E53" s="3">
        <v>9.1424855949999997E-6</v>
      </c>
      <c r="F53" s="3">
        <v>6.2542084420000001E-6</v>
      </c>
      <c r="G53" s="3">
        <v>7.6015518529999999E-6</v>
      </c>
      <c r="H53" s="3">
        <v>1.0470598475000001E-5</v>
      </c>
      <c r="I53" s="3">
        <v>7.1855409689999999E-6</v>
      </c>
      <c r="J53" s="3">
        <v>9.8690168960000002E-6</v>
      </c>
      <c r="K53" s="3">
        <v>1.2911284273E-5</v>
      </c>
      <c r="L53" s="3">
        <v>0.55816272452162097</v>
      </c>
      <c r="M53" s="3">
        <v>0.66621556865735998</v>
      </c>
      <c r="N53" s="3">
        <v>0.48521220310198798</v>
      </c>
      <c r="O53" s="3">
        <v>0.48677100208842</v>
      </c>
      <c r="P53" s="3">
        <v>0.53554695836911304</v>
      </c>
      <c r="Q53" s="3">
        <v>0.47284995485364201</v>
      </c>
      <c r="R53" s="3">
        <v>0.53318238088524905</v>
      </c>
      <c r="S53" s="3">
        <v>0.68244253811938405</v>
      </c>
      <c r="T53" s="3">
        <v>0.55840447810570704</v>
      </c>
      <c r="U53" s="1"/>
      <c r="V53" s="1"/>
    </row>
    <row r="54" spans="1:22" x14ac:dyDescent="0.2">
      <c r="A54" s="1"/>
      <c r="B54">
        <v>490</v>
      </c>
      <c r="C54" s="3">
        <v>6.1662024120000002E-6</v>
      </c>
      <c r="D54" s="3">
        <v>1.0951589060999999E-5</v>
      </c>
      <c r="E54" s="3">
        <v>9.1528203429999996E-6</v>
      </c>
      <c r="F54" s="3">
        <v>6.2420024300000003E-6</v>
      </c>
      <c r="G54" s="3">
        <v>6.7420443790000001E-6</v>
      </c>
      <c r="H54" s="3">
        <v>1.0475377875E-5</v>
      </c>
      <c r="I54" s="3">
        <v>6.8267876210000003E-6</v>
      </c>
      <c r="J54" s="3">
        <v>9.8863108229999997E-6</v>
      </c>
      <c r="K54" s="3">
        <v>1.2935271795E-5</v>
      </c>
      <c r="L54" s="3">
        <v>0.55459595476827594</v>
      </c>
      <c r="M54" s="3">
        <v>0.88258708841043498</v>
      </c>
      <c r="N54" s="3">
        <v>0.48532380847791101</v>
      </c>
      <c r="O54" s="3">
        <v>0.485255351446164</v>
      </c>
      <c r="P54" s="3">
        <v>0.47408484515564497</v>
      </c>
      <c r="Q54" s="3">
        <v>0.47305783003692697</v>
      </c>
      <c r="R54" s="3">
        <v>0.505544142872563</v>
      </c>
      <c r="S54" s="3">
        <v>0.68351799586580697</v>
      </c>
      <c r="T54" s="3">
        <v>0.55899497070846405</v>
      </c>
      <c r="U54" s="1"/>
      <c r="V54" s="1"/>
    </row>
    <row r="55" spans="1:22" x14ac:dyDescent="0.2">
      <c r="A55" s="1"/>
      <c r="B55">
        <v>500</v>
      </c>
      <c r="C55" s="3">
        <v>6.196227979E-6</v>
      </c>
      <c r="D55" s="3">
        <v>7.7335463910000008E-6</v>
      </c>
      <c r="E55" s="3">
        <v>9.1674147229999998E-6</v>
      </c>
      <c r="F55" s="3">
        <v>6.1923750480000003E-6</v>
      </c>
      <c r="G55" s="3">
        <v>7.5477922029999997E-6</v>
      </c>
      <c r="H55" s="3">
        <v>1.047844129E-5</v>
      </c>
      <c r="I55" s="3">
        <v>7.1370078939999996E-6</v>
      </c>
      <c r="J55" s="3">
        <v>9.8996380889999996E-6</v>
      </c>
      <c r="K55" s="3">
        <v>1.2966424548999999E-5</v>
      </c>
      <c r="L55" s="3">
        <v>0.55635933137032301</v>
      </c>
      <c r="M55" s="3">
        <v>0.62240225774148805</v>
      </c>
      <c r="N55" s="3">
        <v>0.48572635766098299</v>
      </c>
      <c r="O55" s="3">
        <v>0.48084610030499902</v>
      </c>
      <c r="P55" s="3">
        <v>0.53043960442249205</v>
      </c>
      <c r="Q55" s="3">
        <v>0.47322520237293397</v>
      </c>
      <c r="R55" s="3">
        <v>0.52743631394743795</v>
      </c>
      <c r="S55" s="3">
        <v>0.68436690940784795</v>
      </c>
      <c r="T55" s="3">
        <v>0.55992933240915299</v>
      </c>
      <c r="U55" s="1"/>
      <c r="V55" s="1"/>
    </row>
    <row r="56" spans="1:22" x14ac:dyDescent="0.2">
      <c r="A56" s="1"/>
      <c r="B56">
        <v>510</v>
      </c>
      <c r="C56" s="3">
        <v>6.2870622669999999E-6</v>
      </c>
      <c r="D56" s="3">
        <v>7.6263693580000004E-6</v>
      </c>
      <c r="E56" s="3">
        <v>9.1683207959999996E-6</v>
      </c>
      <c r="F56" s="3">
        <v>6.2577915910000001E-6</v>
      </c>
      <c r="G56" s="3">
        <v>7.4502137589999999E-6</v>
      </c>
      <c r="H56" s="3">
        <v>1.0476592259000001E-5</v>
      </c>
      <c r="I56" s="3">
        <v>7.3512130659999998E-6</v>
      </c>
      <c r="J56" s="3">
        <v>9.9106369460000004E-6</v>
      </c>
      <c r="K56" s="3">
        <v>1.2993338631E-5</v>
      </c>
      <c r="L56" s="3">
        <v>0.56366021821718204</v>
      </c>
      <c r="M56" s="3">
        <v>0.61325377949617998</v>
      </c>
      <c r="N56" s="3">
        <v>0.48544642963494899</v>
      </c>
      <c r="O56" s="3">
        <v>0.48538401251987801</v>
      </c>
      <c r="P56" s="3">
        <v>0.52313067397735102</v>
      </c>
      <c r="Q56" s="3">
        <v>0.47320540420399698</v>
      </c>
      <c r="R56" s="3">
        <v>0.54238142640796705</v>
      </c>
      <c r="S56" s="3">
        <v>0.68509476987700801</v>
      </c>
      <c r="T56" s="3">
        <v>0.56071607966333703</v>
      </c>
      <c r="U56" s="1"/>
      <c r="V56" s="1"/>
    </row>
    <row r="57" spans="1:22" x14ac:dyDescent="0.2">
      <c r="A57" s="1"/>
      <c r="B57">
        <v>520</v>
      </c>
      <c r="C57" s="3">
        <v>6.2844815540000004E-6</v>
      </c>
      <c r="D57" s="3">
        <v>7.3733834520000001E-6</v>
      </c>
      <c r="E57" s="3">
        <v>9.1777840149999998E-6</v>
      </c>
      <c r="F57" s="3">
        <v>6.2604748940000002E-6</v>
      </c>
      <c r="G57" s="3">
        <v>7.548171752E-6</v>
      </c>
      <c r="H57" s="3">
        <v>1.0471279958E-5</v>
      </c>
      <c r="I57" s="3">
        <v>7.182369189E-6</v>
      </c>
      <c r="J57" s="3">
        <v>9.9232890989999999E-6</v>
      </c>
      <c r="K57" s="3">
        <v>1.3011681485000001E-5</v>
      </c>
      <c r="L57" s="3">
        <v>0.56263279632028296</v>
      </c>
      <c r="M57" s="3">
        <v>0.591902862735594</v>
      </c>
      <c r="N57" s="3">
        <v>0.48566378687860701</v>
      </c>
      <c r="O57" s="3">
        <v>0.48508211652357103</v>
      </c>
      <c r="P57" s="3">
        <v>0.52969552230573103</v>
      </c>
      <c r="Q57" s="3">
        <v>0.47305535565343099</v>
      </c>
      <c r="R57" s="3">
        <v>0.52898362190102499</v>
      </c>
      <c r="S57" s="3">
        <v>0.68598159368688405</v>
      </c>
      <c r="T57" s="3">
        <v>0.56116132201382396</v>
      </c>
      <c r="U57" s="1"/>
      <c r="V57" s="1"/>
    </row>
    <row r="58" spans="1:22" x14ac:dyDescent="0.2">
      <c r="A58" s="1"/>
      <c r="B58">
        <v>530</v>
      </c>
      <c r="C58" s="3">
        <v>6.18814567E-6</v>
      </c>
      <c r="D58" s="3">
        <v>4.7314384399999998E-6</v>
      </c>
      <c r="E58" s="3">
        <v>9.1737331409999998E-6</v>
      </c>
      <c r="F58" s="3">
        <v>6.2041176129999999E-6</v>
      </c>
      <c r="G58" s="3">
        <v>7.8715868019999995E-6</v>
      </c>
      <c r="H58" s="3">
        <v>1.0474790547000001E-5</v>
      </c>
      <c r="I58" s="3">
        <v>7.2040357699999999E-6</v>
      </c>
      <c r="J58" s="3">
        <v>9.9331016680000004E-6</v>
      </c>
      <c r="K58" s="3">
        <v>1.303354828E-5</v>
      </c>
      <c r="L58" s="3">
        <v>0.55326221494504302</v>
      </c>
      <c r="M58" s="3">
        <v>0.37939336292867498</v>
      </c>
      <c r="N58" s="3">
        <v>0.48521234383913397</v>
      </c>
      <c r="O58" s="3">
        <v>0.480206666216972</v>
      </c>
      <c r="P58" s="3">
        <v>0.55198714872833798</v>
      </c>
      <c r="Q58" s="3">
        <v>0.47333240670598598</v>
      </c>
      <c r="R58" s="3">
        <v>0.52964196577450595</v>
      </c>
      <c r="S58" s="3">
        <v>0.68671282921680599</v>
      </c>
      <c r="T58" s="3">
        <v>0.56178169507588704</v>
      </c>
      <c r="U58" s="1"/>
      <c r="V58" s="1"/>
    </row>
    <row r="59" spans="1:22" x14ac:dyDescent="0.2">
      <c r="A59" s="1"/>
      <c r="B59">
        <v>540</v>
      </c>
      <c r="C59" s="3">
        <v>6.2704592869999997E-6</v>
      </c>
      <c r="D59" s="3">
        <v>7.1923238360000002E-6</v>
      </c>
      <c r="E59" s="3">
        <v>9.1776353730000003E-6</v>
      </c>
      <c r="F59" s="3">
        <v>6.2028923960000003E-6</v>
      </c>
      <c r="G59" s="3">
        <v>7.6524307500000006E-6</v>
      </c>
      <c r="H59" s="3">
        <v>1.0467253488E-5</v>
      </c>
      <c r="I59" s="3">
        <v>7.2321436459999999E-6</v>
      </c>
      <c r="J59" s="3">
        <v>9.9419515070000002E-6</v>
      </c>
      <c r="K59" s="3">
        <v>1.3058588881E-5</v>
      </c>
      <c r="L59" s="3">
        <v>0.55985278114604697</v>
      </c>
      <c r="M59" s="3">
        <v>0.573757070877426</v>
      </c>
      <c r="N59" s="3">
        <v>0.48520801100243499</v>
      </c>
      <c r="O59" s="3">
        <v>0.47959635567334702</v>
      </c>
      <c r="P59" s="3">
        <v>0.53651070784693899</v>
      </c>
      <c r="Q59" s="3">
        <v>0.47314490796797598</v>
      </c>
      <c r="R59" s="3">
        <v>0.530788014517103</v>
      </c>
      <c r="S59" s="3">
        <v>0.68741921864357303</v>
      </c>
      <c r="T59" s="3">
        <v>0.56257179685690295</v>
      </c>
      <c r="U59" s="1"/>
      <c r="V59" s="1"/>
    </row>
    <row r="60" spans="1:22" x14ac:dyDescent="0.2">
      <c r="A60" s="1"/>
      <c r="B60">
        <v>550</v>
      </c>
      <c r="C60" s="3">
        <v>6.4326910750000002E-6</v>
      </c>
      <c r="D60" s="3">
        <v>1.0312446378E-5</v>
      </c>
      <c r="E60" s="3">
        <v>9.1797780020000002E-6</v>
      </c>
      <c r="F60" s="3">
        <v>6.3403277270000004E-6</v>
      </c>
      <c r="G60" s="3">
        <v>7.0294626519999998E-6</v>
      </c>
      <c r="H60" s="3">
        <v>1.0458411395E-5</v>
      </c>
      <c r="I60" s="3">
        <v>7.3016853459999999E-6</v>
      </c>
      <c r="J60" s="3">
        <v>9.9518357929999999E-6</v>
      </c>
      <c r="K60" s="3">
        <v>1.3082619502E-5</v>
      </c>
      <c r="L60" s="3">
        <v>0.57369476532393704</v>
      </c>
      <c r="M60" s="3">
        <v>0.82529238966914598</v>
      </c>
      <c r="N60" s="3">
        <v>0.485159821410168</v>
      </c>
      <c r="O60" s="3">
        <v>0.48973240908925603</v>
      </c>
      <c r="P60" s="3">
        <v>0.49242886344286302</v>
      </c>
      <c r="Q60" s="3">
        <v>0.47291423401342902</v>
      </c>
      <c r="R60" s="3">
        <v>0.53494473649501595</v>
      </c>
      <c r="S60" s="3">
        <v>0.68823341439432595</v>
      </c>
      <c r="T60" s="3">
        <v>0.56335084166999305</v>
      </c>
      <c r="U60" s="1"/>
      <c r="V60" s="1"/>
    </row>
    <row r="61" spans="1:22" x14ac:dyDescent="0.2">
      <c r="A61" s="1"/>
      <c r="B61">
        <v>560</v>
      </c>
      <c r="C61" s="3">
        <v>6.3081041969999997E-6</v>
      </c>
      <c r="D61" s="3">
        <v>6.6341151140000001E-6</v>
      </c>
      <c r="E61" s="3">
        <v>9.1751455370000008E-6</v>
      </c>
      <c r="F61" s="3">
        <v>6.3085547139999999E-6</v>
      </c>
      <c r="G61" s="3">
        <v>7.5814906339999999E-6</v>
      </c>
      <c r="H61" s="3">
        <v>1.0456537513999999E-5</v>
      </c>
      <c r="I61" s="3">
        <v>7.3429547290000003E-6</v>
      </c>
      <c r="J61" s="3">
        <v>9.958209495E-6</v>
      </c>
      <c r="K61" s="3">
        <v>1.3103577079E-5</v>
      </c>
      <c r="L61" s="3">
        <v>0.56199725140189605</v>
      </c>
      <c r="M61" s="3">
        <v>0.53029621662238202</v>
      </c>
      <c r="N61" s="3">
        <v>0.48477460067884398</v>
      </c>
      <c r="O61" s="3">
        <v>0.48685326072294199</v>
      </c>
      <c r="P61" s="3">
        <v>0.53058216854494</v>
      </c>
      <c r="Q61" s="3">
        <v>0.473029529182387</v>
      </c>
      <c r="R61" s="3">
        <v>0.53711048552836405</v>
      </c>
      <c r="S61" s="3">
        <v>0.68884806277284905</v>
      </c>
      <c r="T61" s="3">
        <v>0.56402218092214096</v>
      </c>
      <c r="U61" s="1"/>
      <c r="V61" s="1"/>
    </row>
    <row r="62" spans="1:22" x14ac:dyDescent="0.2">
      <c r="A62" s="1"/>
      <c r="B62">
        <v>570</v>
      </c>
      <c r="C62" s="3">
        <v>6.2440314210000002E-6</v>
      </c>
      <c r="D62" s="3">
        <v>7.8972967590000004E-6</v>
      </c>
      <c r="E62" s="3">
        <v>9.1828857029999993E-6</v>
      </c>
      <c r="F62" s="3">
        <v>6.3126831640000001E-6</v>
      </c>
      <c r="G62" s="3">
        <v>7.7738363349999994E-6</v>
      </c>
      <c r="H62" s="3">
        <v>1.0451159681000001E-5</v>
      </c>
      <c r="I62" s="3">
        <v>7.352877277E-6</v>
      </c>
      <c r="J62" s="3">
        <v>9.9642166320000004E-6</v>
      </c>
      <c r="K62" s="3">
        <v>1.3114907914E-5</v>
      </c>
      <c r="L62" s="3">
        <v>0.55565342038419996</v>
      </c>
      <c r="M62" s="3">
        <v>0.62998398475529005</v>
      </c>
      <c r="N62" s="3">
        <v>0.48507761206116301</v>
      </c>
      <c r="O62" s="3">
        <v>0.48666888998294999</v>
      </c>
      <c r="P62" s="3">
        <v>0.54398708240650495</v>
      </c>
      <c r="Q62" s="3">
        <v>0.47300829765922497</v>
      </c>
      <c r="R62" s="3">
        <v>0.536937190671123</v>
      </c>
      <c r="S62" s="3">
        <v>0.68947046480798702</v>
      </c>
      <c r="T62" s="3">
        <v>0.56430616586622495</v>
      </c>
      <c r="U62" s="1"/>
      <c r="V62" s="1"/>
    </row>
    <row r="63" spans="1:22" x14ac:dyDescent="0.2">
      <c r="A63" s="1"/>
      <c r="B63">
        <v>580</v>
      </c>
      <c r="C63" s="3">
        <v>6.3210264030000003E-6</v>
      </c>
      <c r="D63" s="3">
        <v>7.377970517E-6</v>
      </c>
      <c r="E63" s="3">
        <v>9.1748541490000005E-6</v>
      </c>
      <c r="F63" s="3">
        <v>6.3842629559999999E-6</v>
      </c>
      <c r="G63" s="3">
        <v>7.6457314240000008E-6</v>
      </c>
      <c r="H63" s="3">
        <v>1.0442813208999999E-5</v>
      </c>
      <c r="I63" s="3">
        <v>7.3952091020000001E-6</v>
      </c>
      <c r="J63" s="3">
        <v>9.9724359490000003E-6</v>
      </c>
      <c r="K63" s="3">
        <v>1.3134694920000001E-5</v>
      </c>
      <c r="L63" s="3">
        <v>0.56193858757041804</v>
      </c>
      <c r="M63" s="3">
        <v>0.589086638492474</v>
      </c>
      <c r="N63" s="3">
        <v>0.484581450553352</v>
      </c>
      <c r="O63" s="3">
        <v>0.49178150697644601</v>
      </c>
      <c r="P63" s="3">
        <v>0.534664594643394</v>
      </c>
      <c r="Q63" s="3">
        <v>0.47287833468812401</v>
      </c>
      <c r="R63" s="3">
        <v>0.53916312170265002</v>
      </c>
      <c r="S63" s="3">
        <v>0.69028785353655897</v>
      </c>
      <c r="T63" s="3">
        <v>0.56497115235432604</v>
      </c>
      <c r="U63" s="1"/>
      <c r="V63" s="1"/>
    </row>
    <row r="64" spans="1:22" x14ac:dyDescent="0.2">
      <c r="A64" s="1"/>
      <c r="B64">
        <v>590</v>
      </c>
      <c r="C64" s="3">
        <v>6.3500989779999999E-6</v>
      </c>
      <c r="D64" s="3">
        <v>7.2960311280000004E-6</v>
      </c>
      <c r="E64" s="3">
        <v>9.1707677490000001E-6</v>
      </c>
      <c r="F64" s="3">
        <v>6.3309406129999996E-6</v>
      </c>
      <c r="G64" s="3">
        <v>7.7155233220000006E-6</v>
      </c>
      <c r="H64" s="3">
        <v>1.0432393612E-5</v>
      </c>
      <c r="I64" s="3">
        <v>7.3367905070000002E-6</v>
      </c>
      <c r="J64" s="3">
        <v>9.9747962919999995E-6</v>
      </c>
      <c r="K64" s="3">
        <v>1.3154656049E-5</v>
      </c>
      <c r="L64" s="3">
        <v>0.56398795291183901</v>
      </c>
      <c r="M64" s="3">
        <v>0.58131787396732404</v>
      </c>
      <c r="N64" s="3">
        <v>0.48430847053916998</v>
      </c>
      <c r="O64" s="3">
        <v>0.487218578740994</v>
      </c>
      <c r="P64" s="3">
        <v>0.53941862923021</v>
      </c>
      <c r="Q64" s="3">
        <v>0.47267255083444798</v>
      </c>
      <c r="R64" s="3">
        <v>0.53402981452303</v>
      </c>
      <c r="S64" s="3">
        <v>0.69073342427363404</v>
      </c>
      <c r="T64" s="3">
        <v>0.56568256005541295</v>
      </c>
      <c r="U64" s="1"/>
      <c r="V64" s="1"/>
    </row>
    <row r="65" spans="1:22" x14ac:dyDescent="0.2">
      <c r="A65" s="1"/>
      <c r="B65">
        <v>600</v>
      </c>
      <c r="C65" s="3">
        <v>6.3468425299999999E-6</v>
      </c>
      <c r="D65" s="3">
        <v>9.5124244890000008E-6</v>
      </c>
      <c r="E65" s="3">
        <v>9.1659727459999992E-6</v>
      </c>
      <c r="F65" s="3">
        <v>6.3246052880000001E-6</v>
      </c>
      <c r="G65" s="3">
        <v>7.5486979469999997E-6</v>
      </c>
      <c r="H65" s="3">
        <v>1.0433796721E-5</v>
      </c>
      <c r="I65" s="3">
        <v>7.2484067740000001E-6</v>
      </c>
      <c r="J65" s="3">
        <v>9.9779961289999998E-6</v>
      </c>
      <c r="K65" s="3">
        <v>1.3165156786E-5</v>
      </c>
      <c r="L65" s="3">
        <v>0.56320716986047503</v>
      </c>
      <c r="M65" s="3">
        <v>0.75828518842649995</v>
      </c>
      <c r="N65" s="3">
        <v>0.48403025070644201</v>
      </c>
      <c r="O65" s="3">
        <v>0.48630650918849799</v>
      </c>
      <c r="P65" s="3">
        <v>0.52750754776587305</v>
      </c>
      <c r="Q65" s="3">
        <v>0.47302379624570301</v>
      </c>
      <c r="R65" s="3">
        <v>0.52672049313320801</v>
      </c>
      <c r="S65" s="3">
        <v>0.69127138706963598</v>
      </c>
      <c r="T65" s="3">
        <v>0.56600406583872098</v>
      </c>
      <c r="U65" s="1"/>
      <c r="V65" s="1"/>
    </row>
    <row r="66" spans="1:22" x14ac:dyDescent="0.2">
      <c r="A66" s="1"/>
      <c r="B66">
        <v>610</v>
      </c>
      <c r="C66" s="3">
        <v>6.329329504E-6</v>
      </c>
      <c r="D66" s="3">
        <v>8.1687657229999999E-6</v>
      </c>
      <c r="E66" s="3">
        <v>9.1683371209999994E-6</v>
      </c>
      <c r="F66" s="3">
        <v>6.3562601240000002E-6</v>
      </c>
      <c r="G66" s="3">
        <v>7.6343328729999992E-6</v>
      </c>
      <c r="H66" s="3">
        <v>1.0422170112E-5</v>
      </c>
      <c r="I66" s="3">
        <v>7.4097403420000004E-6</v>
      </c>
      <c r="J66" s="3">
        <v>9.9823101719999993E-6</v>
      </c>
      <c r="K66" s="3">
        <v>1.3191422542E-5</v>
      </c>
      <c r="L66" s="3">
        <v>0.56116830694728603</v>
      </c>
      <c r="M66" s="3">
        <v>0.651288618928893</v>
      </c>
      <c r="N66" s="3">
        <v>0.48414460827272399</v>
      </c>
      <c r="O66" s="3">
        <v>0.48830553868893201</v>
      </c>
      <c r="P66" s="3">
        <v>0.53321780336384295</v>
      </c>
      <c r="Q66" s="3">
        <v>0.47281623880210999</v>
      </c>
      <c r="R66" s="3">
        <v>0.53754457864216498</v>
      </c>
      <c r="S66" s="3">
        <v>0.69192356766066798</v>
      </c>
      <c r="T66" s="3">
        <v>0.56702546221227301</v>
      </c>
      <c r="U66" s="1"/>
      <c r="V66" s="1"/>
    </row>
    <row r="67" spans="1:22" x14ac:dyDescent="0.2">
      <c r="A67" s="1"/>
      <c r="B67">
        <v>620</v>
      </c>
      <c r="C67" s="3">
        <v>6.3120320010000002E-6</v>
      </c>
      <c r="D67" s="3">
        <v>7.6305013239999993E-6</v>
      </c>
      <c r="E67" s="3">
        <v>9.160629387E-6</v>
      </c>
      <c r="F67" s="3">
        <v>6.3781664779999999E-6</v>
      </c>
      <c r="G67" s="3">
        <v>7.4461846960000003E-6</v>
      </c>
      <c r="H67" s="3">
        <v>1.0405303294E-5</v>
      </c>
      <c r="I67" s="3">
        <v>7.5259023180000004E-6</v>
      </c>
      <c r="J67" s="3">
        <v>9.9841272019999992E-6</v>
      </c>
      <c r="K67" s="3">
        <v>1.3203175578E-5</v>
      </c>
      <c r="L67" s="3">
        <v>0.55917883097589804</v>
      </c>
      <c r="M67" s="3">
        <v>0.607912597568668</v>
      </c>
      <c r="N67" s="3">
        <v>0.48376142813030498</v>
      </c>
      <c r="O67" s="3">
        <v>0.48958514717944601</v>
      </c>
      <c r="P67" s="3">
        <v>0.51990127978287604</v>
      </c>
      <c r="Q67" s="3">
        <v>0.472375073328408</v>
      </c>
      <c r="R67" s="3">
        <v>0.54515764078242801</v>
      </c>
      <c r="S67" s="3">
        <v>0.69243702737553003</v>
      </c>
      <c r="T67" s="3">
        <v>0.56747404357161602</v>
      </c>
      <c r="U67" s="1"/>
      <c r="V67" s="1"/>
    </row>
    <row r="68" spans="1:22" x14ac:dyDescent="0.2">
      <c r="A68" s="1"/>
      <c r="B68">
        <v>630</v>
      </c>
      <c r="C68" s="3">
        <v>6.376566571E-6</v>
      </c>
      <c r="D68" s="3">
        <v>8.351055884E-6</v>
      </c>
      <c r="E68" s="3">
        <v>9.1418017380000005E-6</v>
      </c>
      <c r="F68" s="3">
        <v>6.3523985299999999E-6</v>
      </c>
      <c r="G68" s="3">
        <v>7.6513695489999997E-6</v>
      </c>
      <c r="H68" s="3">
        <v>1.0400674389E-5</v>
      </c>
      <c r="I68" s="3">
        <v>7.4836310630000004E-6</v>
      </c>
      <c r="J68" s="3">
        <v>9.9847544750000007E-6</v>
      </c>
      <c r="K68" s="3">
        <v>1.3203234688E-5</v>
      </c>
      <c r="L68" s="3">
        <v>0.56443835095554595</v>
      </c>
      <c r="M68" s="3">
        <v>0.66508752432783702</v>
      </c>
      <c r="N68" s="3">
        <v>0.48279150338228</v>
      </c>
      <c r="O68" s="3">
        <v>0.48718897474308198</v>
      </c>
      <c r="P68" s="3">
        <v>0.533813641961285</v>
      </c>
      <c r="Q68" s="3">
        <v>0.472517553216247</v>
      </c>
      <c r="R68" s="3">
        <v>0.54123632120183895</v>
      </c>
      <c r="S68" s="3">
        <v>0.69290156437468997</v>
      </c>
      <c r="T68" s="3">
        <v>0.56741245470461599</v>
      </c>
      <c r="U68" s="1"/>
      <c r="V68" s="1"/>
    </row>
    <row r="69" spans="1:22" x14ac:dyDescent="0.2">
      <c r="A69" s="1"/>
      <c r="B69">
        <v>640</v>
      </c>
      <c r="C69" s="3">
        <v>6.4316734140000001E-6</v>
      </c>
      <c r="D69" s="3">
        <v>7.9778442709999994E-6</v>
      </c>
      <c r="E69" s="3">
        <v>9.1454860560000002E-6</v>
      </c>
      <c r="F69" s="3">
        <v>6.3751627489999998E-6</v>
      </c>
      <c r="G69" s="3">
        <v>7.8401871489999998E-6</v>
      </c>
      <c r="H69" s="3">
        <v>1.0389374123E-5</v>
      </c>
      <c r="I69" s="3">
        <v>7.5383357380000001E-6</v>
      </c>
      <c r="J69" s="3">
        <v>9.9870141560000004E-6</v>
      </c>
      <c r="K69" s="3">
        <v>1.3224361456999999E-5</v>
      </c>
      <c r="L69" s="3">
        <v>0.56893585997167795</v>
      </c>
      <c r="M69" s="3">
        <v>0.63565732347120596</v>
      </c>
      <c r="N69" s="3">
        <v>0.48303544492056399</v>
      </c>
      <c r="O69" s="3">
        <v>0.48852164156690903</v>
      </c>
      <c r="P69" s="3">
        <v>0.54700733132213297</v>
      </c>
      <c r="Q69" s="3">
        <v>0.472370566554286</v>
      </c>
      <c r="R69" s="3">
        <v>0.54436924613210802</v>
      </c>
      <c r="S69" s="3">
        <v>0.69351194618076495</v>
      </c>
      <c r="T69" s="3">
        <v>0.56828311904478901</v>
      </c>
      <c r="U69" s="1"/>
      <c r="V69" s="1"/>
    </row>
    <row r="70" spans="1:22" x14ac:dyDescent="0.2">
      <c r="A70" s="1"/>
      <c r="B70">
        <v>650</v>
      </c>
      <c r="C70" s="3">
        <v>6.4168868579999999E-6</v>
      </c>
      <c r="D70" s="3">
        <v>8.0796096079999998E-6</v>
      </c>
      <c r="E70" s="3">
        <v>9.1419240000000003E-6</v>
      </c>
      <c r="F70" s="3">
        <v>6.4034445120000001E-6</v>
      </c>
      <c r="G70" s="3">
        <v>7.6751385250000003E-6</v>
      </c>
      <c r="H70" s="3">
        <v>1.037499959E-5</v>
      </c>
      <c r="I70" s="3">
        <v>7.5399481980000001E-6</v>
      </c>
      <c r="J70" s="3">
        <v>9.9898809119999992E-6</v>
      </c>
      <c r="K70" s="3">
        <v>1.3243278946E-5</v>
      </c>
      <c r="L70" s="3">
        <v>0.56725542715073496</v>
      </c>
      <c r="M70" s="3">
        <v>0.64335656259208895</v>
      </c>
      <c r="N70" s="3">
        <v>0.48291453455642802</v>
      </c>
      <c r="O70" s="3">
        <v>0.49028775283547199</v>
      </c>
      <c r="P70" s="3">
        <v>0.53524788595522899</v>
      </c>
      <c r="Q70" s="3">
        <v>0.47210315656134699</v>
      </c>
      <c r="R70" s="3">
        <v>0.54366828511786203</v>
      </c>
      <c r="S70" s="3">
        <v>0.69420117553685701</v>
      </c>
      <c r="T70" s="3">
        <v>0.56909877976131995</v>
      </c>
      <c r="U70" s="1"/>
      <c r="V70" s="1"/>
    </row>
    <row r="71" spans="1:22" x14ac:dyDescent="0.2">
      <c r="A71" s="1"/>
      <c r="B71">
        <v>660</v>
      </c>
      <c r="C71" s="3">
        <v>6.380818253E-6</v>
      </c>
      <c r="D71" s="3">
        <v>7.7714272370000003E-6</v>
      </c>
      <c r="E71" s="3">
        <v>9.1350150570000005E-6</v>
      </c>
      <c r="F71" s="3">
        <v>6.3906008609999999E-6</v>
      </c>
      <c r="G71" s="3">
        <v>7.7571343519999999E-6</v>
      </c>
      <c r="H71" s="3">
        <v>1.0364566525E-5</v>
      </c>
      <c r="I71" s="3">
        <v>7.5113559240000004E-6</v>
      </c>
      <c r="J71" s="3">
        <v>9.9891639470000006E-6</v>
      </c>
      <c r="K71" s="3">
        <v>1.325443029E-5</v>
      </c>
      <c r="L71" s="3">
        <v>0.56372183167170697</v>
      </c>
      <c r="M71" s="3">
        <v>0.61917771884400896</v>
      </c>
      <c r="N71" s="3">
        <v>0.48262876503726698</v>
      </c>
      <c r="O71" s="3">
        <v>0.48891161788667298</v>
      </c>
      <c r="P71" s="3">
        <v>0.54084520749821996</v>
      </c>
      <c r="Q71" s="3">
        <v>0.47202767292723602</v>
      </c>
      <c r="R71" s="3">
        <v>0.54078654962150396</v>
      </c>
      <c r="S71" s="3">
        <v>0.69467496596065104</v>
      </c>
      <c r="T71" s="3">
        <v>0.56960522173927197</v>
      </c>
      <c r="U71" s="1"/>
      <c r="V71" s="1"/>
    </row>
    <row r="72" spans="1:22" x14ac:dyDescent="0.2">
      <c r="A72" s="1"/>
      <c r="B72">
        <v>670</v>
      </c>
      <c r="C72" s="3">
        <v>6.3627075129999997E-6</v>
      </c>
      <c r="D72" s="3">
        <v>6.9528854509999998E-6</v>
      </c>
      <c r="E72" s="3">
        <v>9.1269407120000001E-6</v>
      </c>
      <c r="F72" s="3">
        <v>6.396190625E-6</v>
      </c>
      <c r="G72" s="3">
        <v>7.6667802570000007E-6</v>
      </c>
      <c r="H72" s="3">
        <v>1.0357046144999999E-5</v>
      </c>
      <c r="I72" s="3">
        <v>7.512142107E-6</v>
      </c>
      <c r="J72" s="3">
        <v>9.9855193739999997E-6</v>
      </c>
      <c r="K72" s="3">
        <v>1.3258873345E-5</v>
      </c>
      <c r="L72" s="3">
        <v>0.56174559711208005</v>
      </c>
      <c r="M72" s="3">
        <v>0.55337384785188304</v>
      </c>
      <c r="N72" s="3">
        <v>0.482303048359216</v>
      </c>
      <c r="O72" s="3">
        <v>0.488931873909139</v>
      </c>
      <c r="P72" s="3">
        <v>0.53439964579108401</v>
      </c>
      <c r="Q72" s="3">
        <v>0.47210693358174499</v>
      </c>
      <c r="R72" s="3">
        <v>0.54000766093413199</v>
      </c>
      <c r="S72" s="3">
        <v>0.69497674125288</v>
      </c>
      <c r="T72" s="3">
        <v>0.56984499728633997</v>
      </c>
      <c r="U72" s="1"/>
      <c r="V72" s="1"/>
    </row>
    <row r="73" spans="1:22" x14ac:dyDescent="0.2">
      <c r="A73" s="1"/>
      <c r="B73">
        <v>680</v>
      </c>
      <c r="C73" s="3">
        <v>6.378427906E-6</v>
      </c>
      <c r="D73" s="3">
        <v>6.8022454740000003E-6</v>
      </c>
      <c r="E73" s="3">
        <v>9.1148098139999998E-6</v>
      </c>
      <c r="F73" s="3">
        <v>6.4151555339999999E-6</v>
      </c>
      <c r="G73" s="3">
        <v>7.6202767100000001E-6</v>
      </c>
      <c r="H73" s="3">
        <v>1.0342261796000001E-5</v>
      </c>
      <c r="I73" s="3">
        <v>7.5895691240000004E-6</v>
      </c>
      <c r="J73" s="3">
        <v>9.9844284600000008E-6</v>
      </c>
      <c r="K73" s="3">
        <v>1.3267084988000001E-5</v>
      </c>
      <c r="L73" s="3">
        <v>0.56280795278614004</v>
      </c>
      <c r="M73" s="3">
        <v>0.54138373988147304</v>
      </c>
      <c r="N73" s="3">
        <v>0.48177335799233301</v>
      </c>
      <c r="O73" s="3">
        <v>0.48999075022053501</v>
      </c>
      <c r="P73" s="3">
        <v>0.53095529960288901</v>
      </c>
      <c r="Q73" s="3">
        <v>0.47187353915738001</v>
      </c>
      <c r="R73" s="3">
        <v>0.544736089999731</v>
      </c>
      <c r="S73" s="3">
        <v>0.69548585452949097</v>
      </c>
      <c r="T73" s="3">
        <v>0.57025717322839098</v>
      </c>
      <c r="U73" s="1"/>
      <c r="V73" s="1"/>
    </row>
    <row r="74" spans="1:22" x14ac:dyDescent="0.2">
      <c r="A74" s="1"/>
      <c r="B74">
        <v>690</v>
      </c>
      <c r="C74" s="3">
        <v>6.4062392739999997E-6</v>
      </c>
      <c r="D74" s="3">
        <v>7.980202989E-6</v>
      </c>
      <c r="E74" s="3">
        <v>9.1076448759999996E-6</v>
      </c>
      <c r="F74" s="3">
        <v>6.4500935779999997E-6</v>
      </c>
      <c r="G74" s="3">
        <v>7.6563461449999999E-6</v>
      </c>
      <c r="H74" s="3">
        <v>1.0327592295999999E-5</v>
      </c>
      <c r="I74" s="3">
        <v>7.6406794170000006E-6</v>
      </c>
      <c r="J74" s="3">
        <v>9.9792451510000001E-6</v>
      </c>
      <c r="K74" s="3">
        <v>1.3280950919000001E-5</v>
      </c>
      <c r="L74" s="3">
        <v>0.56492560335027397</v>
      </c>
      <c r="M74" s="3">
        <v>0.63376777449629496</v>
      </c>
      <c r="N74" s="3">
        <v>0.48151583985805702</v>
      </c>
      <c r="O74" s="3">
        <v>0.49226725657185699</v>
      </c>
      <c r="P74" s="3">
        <v>0.53327548069388497</v>
      </c>
      <c r="Q74" s="3">
        <v>0.47165493795189101</v>
      </c>
      <c r="R74" s="3">
        <v>0.54762598662548601</v>
      </c>
      <c r="S74" s="3">
        <v>0.69574564967532004</v>
      </c>
      <c r="T74" s="3">
        <v>0.57094484759492903</v>
      </c>
      <c r="U74" s="1"/>
      <c r="V74" s="1"/>
    </row>
    <row r="75" spans="1:22" x14ac:dyDescent="0.2">
      <c r="A75" s="1"/>
      <c r="B75">
        <v>700</v>
      </c>
      <c r="C75" s="3">
        <v>6.4496492330000002E-6</v>
      </c>
      <c r="D75" s="3">
        <v>9.03978568E-6</v>
      </c>
      <c r="E75" s="3">
        <v>9.1009307620000008E-6</v>
      </c>
      <c r="F75" s="3">
        <v>6.4551796690000003E-6</v>
      </c>
      <c r="G75" s="3">
        <v>7.6427901110000001E-6</v>
      </c>
      <c r="H75" s="3">
        <v>1.0312886373E-5</v>
      </c>
      <c r="I75" s="3">
        <v>7.6345325409999997E-6</v>
      </c>
      <c r="J75" s="3">
        <v>9.9748988740000008E-6</v>
      </c>
      <c r="K75" s="3">
        <v>1.3291066366E-5</v>
      </c>
      <c r="L75" s="3">
        <v>0.56847404786207201</v>
      </c>
      <c r="M75" s="3">
        <v>0.71896424519396096</v>
      </c>
      <c r="N75" s="3">
        <v>0.48129413701891399</v>
      </c>
      <c r="O75" s="3">
        <v>0.492285349011993</v>
      </c>
      <c r="P75" s="3">
        <v>0.53217463891434003</v>
      </c>
      <c r="Q75" s="3">
        <v>0.47145415160603199</v>
      </c>
      <c r="R75" s="3">
        <v>0.54637185852461601</v>
      </c>
      <c r="S75" s="3">
        <v>0.69608738186379204</v>
      </c>
      <c r="T75" s="3">
        <v>0.57150016054909702</v>
      </c>
      <c r="U75" s="1"/>
      <c r="V75" s="1"/>
    </row>
    <row r="76" spans="1:22" x14ac:dyDescent="0.2">
      <c r="A76" s="1"/>
      <c r="B76">
        <v>710</v>
      </c>
      <c r="C76" s="3">
        <v>6.4134532450000002E-6</v>
      </c>
      <c r="D76" s="3">
        <v>7.6532085820000007E-6</v>
      </c>
      <c r="E76" s="3">
        <v>9.0916506720000003E-6</v>
      </c>
      <c r="F76" s="3">
        <v>6.3961772240000002E-6</v>
      </c>
      <c r="G76" s="3">
        <v>7.7005609320000006E-6</v>
      </c>
      <c r="H76" s="3">
        <v>1.0299417794999999E-5</v>
      </c>
      <c r="I76" s="3">
        <v>7.6641293300000003E-6</v>
      </c>
      <c r="J76" s="3">
        <v>9.9699924329999994E-6</v>
      </c>
      <c r="K76" s="3">
        <v>1.329647635E-5</v>
      </c>
      <c r="L76" s="3">
        <v>0.56500746832720405</v>
      </c>
      <c r="M76" s="3">
        <v>0.60920751651913296</v>
      </c>
      <c r="N76" s="3">
        <v>0.48094759229217499</v>
      </c>
      <c r="O76" s="3">
        <v>0.48738618660305999</v>
      </c>
      <c r="P76" s="3">
        <v>0.53599875481266002</v>
      </c>
      <c r="Q76" s="3">
        <v>0.47131888472255701</v>
      </c>
      <c r="R76" s="3">
        <v>0.54766926742994104</v>
      </c>
      <c r="S76" s="3">
        <v>0.69642560576301604</v>
      </c>
      <c r="T76" s="3">
        <v>0.57187767837769599</v>
      </c>
      <c r="U76" s="1"/>
      <c r="V76" s="1"/>
    </row>
    <row r="77" spans="1:22" x14ac:dyDescent="0.2">
      <c r="A77" s="1"/>
      <c r="B77">
        <v>720</v>
      </c>
      <c r="C77" s="3">
        <v>6.428288758E-6</v>
      </c>
      <c r="D77" s="3">
        <v>7.4488152800000001E-6</v>
      </c>
      <c r="E77" s="3">
        <v>9.0801415280000004E-6</v>
      </c>
      <c r="F77" s="3">
        <v>6.4257962530000002E-6</v>
      </c>
      <c r="G77" s="3">
        <v>7.7488084789999993E-6</v>
      </c>
      <c r="H77" s="3">
        <v>1.0287456923999999E-5</v>
      </c>
      <c r="I77" s="3">
        <v>7.7484421E-6</v>
      </c>
      <c r="J77" s="3">
        <v>9.9630706430000007E-6</v>
      </c>
      <c r="K77" s="3">
        <v>1.3299427992999999E-5</v>
      </c>
      <c r="L77" s="3">
        <v>0.56602348177624995</v>
      </c>
      <c r="M77" s="3">
        <v>0.59242484934568895</v>
      </c>
      <c r="N77" s="3">
        <v>0.48049372548896002</v>
      </c>
      <c r="O77" s="3">
        <v>0.48923786362507499</v>
      </c>
      <c r="P77" s="3">
        <v>0.53926415310324005</v>
      </c>
      <c r="Q77" s="3">
        <v>0.471273628250657</v>
      </c>
      <c r="R77" s="3">
        <v>0.552916651660878</v>
      </c>
      <c r="S77" s="3">
        <v>0.69664618751270702</v>
      </c>
      <c r="T77" s="3">
        <v>0.57216362367961204</v>
      </c>
      <c r="U77" s="1"/>
      <c r="V77" s="1"/>
    </row>
    <row r="78" spans="1:22" x14ac:dyDescent="0.2">
      <c r="A78" s="1"/>
      <c r="B78">
        <v>730</v>
      </c>
      <c r="C78" s="3">
        <v>6.4550223010000004E-6</v>
      </c>
      <c r="D78" s="3">
        <v>7.839207052E-6</v>
      </c>
      <c r="E78" s="3">
        <v>9.0719894779999999E-6</v>
      </c>
      <c r="F78" s="3">
        <v>6.4525196070000001E-6</v>
      </c>
      <c r="G78" s="3">
        <v>7.7389396350000004E-6</v>
      </c>
      <c r="H78" s="3">
        <v>1.0269252933E-5</v>
      </c>
      <c r="I78" s="3">
        <v>7.6476760470000005E-6</v>
      </c>
      <c r="J78" s="3">
        <v>9.9646859860000003E-6</v>
      </c>
      <c r="K78" s="3">
        <v>1.3307611095E-5</v>
      </c>
      <c r="L78" s="3">
        <v>0.56813839837816804</v>
      </c>
      <c r="M78" s="3">
        <v>0.62355729759195899</v>
      </c>
      <c r="N78" s="3">
        <v>0.48022296700915901</v>
      </c>
      <c r="O78" s="3">
        <v>0.490892248557941</v>
      </c>
      <c r="P78" s="3">
        <v>0.53844248005950102</v>
      </c>
      <c r="Q78" s="3">
        <v>0.470956145942177</v>
      </c>
      <c r="R78" s="3">
        <v>0.54500643326259901</v>
      </c>
      <c r="S78" s="3">
        <v>0.69749877431885898</v>
      </c>
      <c r="T78" s="3">
        <v>0.57269512113334298</v>
      </c>
      <c r="U78" s="1"/>
      <c r="V78" s="1"/>
    </row>
    <row r="79" spans="1:22" x14ac:dyDescent="0.2">
      <c r="A79" s="1"/>
      <c r="B79">
        <v>740</v>
      </c>
      <c r="C79" s="3">
        <v>6.4332593199999997E-6</v>
      </c>
      <c r="D79" s="3">
        <v>8.1353418879999993E-6</v>
      </c>
      <c r="E79" s="3">
        <v>9.0641921409999997E-6</v>
      </c>
      <c r="F79" s="3">
        <v>6.4554932799999996E-6</v>
      </c>
      <c r="G79" s="3">
        <v>7.7335639910000003E-6</v>
      </c>
      <c r="H79" s="3">
        <v>1.0253850222E-5</v>
      </c>
      <c r="I79" s="3">
        <v>7.6404719610000002E-6</v>
      </c>
      <c r="J79" s="3">
        <v>9.9580110370000003E-6</v>
      </c>
      <c r="K79" s="3">
        <v>1.331498843E-5</v>
      </c>
      <c r="L79" s="3">
        <v>0.56597548070123205</v>
      </c>
      <c r="M79" s="3">
        <v>0.64710449043679197</v>
      </c>
      <c r="N79" s="3">
        <v>0.47998563517623599</v>
      </c>
      <c r="O79" s="3">
        <v>0.490723447299239</v>
      </c>
      <c r="P79" s="3">
        <v>0.537950487155616</v>
      </c>
      <c r="Q79" s="3">
        <v>0.47077331982766402</v>
      </c>
      <c r="R79" s="3">
        <v>0.54360280432845498</v>
      </c>
      <c r="S79" s="3">
        <v>0.69780944228119102</v>
      </c>
      <c r="T79" s="3">
        <v>0.57322487187793703</v>
      </c>
      <c r="U79" s="1"/>
      <c r="V79" s="1"/>
    </row>
    <row r="80" spans="1:22" x14ac:dyDescent="0.2">
      <c r="A80" s="1"/>
      <c r="B80">
        <v>750</v>
      </c>
      <c r="C80" s="3">
        <v>6.4577986509999997E-6</v>
      </c>
      <c r="D80" s="3">
        <v>8.2467417860000008E-6</v>
      </c>
      <c r="E80" s="3">
        <v>9.0528495899999996E-6</v>
      </c>
      <c r="F80" s="3">
        <v>6.4921783800000002E-6</v>
      </c>
      <c r="G80" s="3">
        <v>7.6644589809999994E-6</v>
      </c>
      <c r="H80" s="3">
        <v>1.0235928436000001E-5</v>
      </c>
      <c r="I80" s="3">
        <v>7.7753972060000004E-6</v>
      </c>
      <c r="J80" s="3">
        <v>9.9485881150000001E-6</v>
      </c>
      <c r="K80" s="3">
        <v>1.3321104763999999E-5</v>
      </c>
      <c r="L80" s="3">
        <v>0.567890212368522</v>
      </c>
      <c r="M80" s="3">
        <v>0.65631324923108003</v>
      </c>
      <c r="N80" s="3">
        <v>0.479564906906989</v>
      </c>
      <c r="O80" s="3">
        <v>0.49313183229219099</v>
      </c>
      <c r="P80" s="3">
        <v>0.53301645085306004</v>
      </c>
      <c r="Q80" s="3">
        <v>0.47049325154825</v>
      </c>
      <c r="R80" s="3">
        <v>0.55245155127949297</v>
      </c>
      <c r="S80" s="3">
        <v>0.69794875282114299</v>
      </c>
      <c r="T80" s="3">
        <v>0.57372100752752198</v>
      </c>
      <c r="U80" s="1"/>
      <c r="V80" s="1"/>
    </row>
    <row r="81" spans="1:22" x14ac:dyDescent="0.2">
      <c r="A81" s="1"/>
      <c r="B81">
        <v>760</v>
      </c>
      <c r="C81" s="3">
        <v>6.4229793640000003E-6</v>
      </c>
      <c r="D81" s="3">
        <v>7.6605656020000003E-6</v>
      </c>
      <c r="E81" s="3">
        <v>9.0433099140000005E-6</v>
      </c>
      <c r="F81" s="3">
        <v>6.4810732360000004E-6</v>
      </c>
      <c r="G81" s="3">
        <v>7.5768306069999998E-6</v>
      </c>
      <c r="H81" s="3">
        <v>1.022174543E-5</v>
      </c>
      <c r="I81" s="3">
        <v>7.729247736E-6</v>
      </c>
      <c r="J81" s="3">
        <v>9.9394066539999999E-6</v>
      </c>
      <c r="K81" s="3">
        <v>1.3321201477000001E-5</v>
      </c>
      <c r="L81" s="3">
        <v>0.56462548769395204</v>
      </c>
      <c r="M81" s="3">
        <v>0.60988602623411603</v>
      </c>
      <c r="N81" s="3">
        <v>0.47924914094086801</v>
      </c>
      <c r="O81" s="3">
        <v>0.49191164382701102</v>
      </c>
      <c r="P81" s="3">
        <v>0.52670505654065003</v>
      </c>
      <c r="Q81" s="3">
        <v>0.47039117428450899</v>
      </c>
      <c r="R81" s="3">
        <v>0.54838301999560302</v>
      </c>
      <c r="S81" s="3">
        <v>0.69813710681920804</v>
      </c>
      <c r="T81" s="3">
        <v>0.57399031454329796</v>
      </c>
      <c r="U81" s="1"/>
      <c r="V81" s="1"/>
    </row>
    <row r="82" spans="1:22" x14ac:dyDescent="0.2">
      <c r="A82" s="1"/>
      <c r="B82">
        <v>770</v>
      </c>
      <c r="C82" s="3">
        <v>6.4334234699999999E-6</v>
      </c>
      <c r="D82" s="3">
        <v>7.7822994979999997E-6</v>
      </c>
      <c r="E82" s="3">
        <v>9.0317440239999999E-6</v>
      </c>
      <c r="F82" s="3">
        <v>6.5015486579999996E-6</v>
      </c>
      <c r="G82" s="3">
        <v>7.6943798439999997E-6</v>
      </c>
      <c r="H82" s="3">
        <v>1.0206758876999999E-5</v>
      </c>
      <c r="I82" s="3">
        <v>7.7725995059999996E-6</v>
      </c>
      <c r="J82" s="3">
        <v>9.9304135200000006E-6</v>
      </c>
      <c r="K82" s="3">
        <v>1.3320349838999999E-5</v>
      </c>
      <c r="L82" s="3">
        <v>0.56528386293253896</v>
      </c>
      <c r="M82" s="3">
        <v>0.61941478481034995</v>
      </c>
      <c r="N82" s="3">
        <v>0.47883422460484198</v>
      </c>
      <c r="O82" s="3">
        <v>0.49306938920225102</v>
      </c>
      <c r="P82" s="3">
        <v>0.53466891436485098</v>
      </c>
      <c r="Q82" s="3">
        <v>0.47027467281972701</v>
      </c>
      <c r="R82" s="3">
        <v>0.55065528504224703</v>
      </c>
      <c r="S82" s="3">
        <v>0.69836110961765097</v>
      </c>
      <c r="T82" s="3">
        <v>0.57421612045094705</v>
      </c>
      <c r="U82" s="1"/>
      <c r="V82" s="1"/>
    </row>
    <row r="83" spans="1:22" x14ac:dyDescent="0.2">
      <c r="A83" s="1"/>
      <c r="B83">
        <v>780</v>
      </c>
      <c r="C83" s="3">
        <v>6.4721058790000001E-6</v>
      </c>
      <c r="D83" s="3">
        <v>8.1594855470000006E-6</v>
      </c>
      <c r="E83" s="3">
        <v>9.0206195550000004E-6</v>
      </c>
      <c r="F83" s="3">
        <v>6.520356844E-6</v>
      </c>
      <c r="G83" s="3">
        <v>7.8056691730000004E-6</v>
      </c>
      <c r="H83" s="3">
        <v>1.0186316319999999E-5</v>
      </c>
      <c r="I83" s="3">
        <v>7.8274426549999992E-6</v>
      </c>
      <c r="J83" s="3">
        <v>9.9226003619999999E-6</v>
      </c>
      <c r="K83" s="3">
        <v>1.3325719655999999E-5</v>
      </c>
      <c r="L83" s="3">
        <v>0.56850458830605</v>
      </c>
      <c r="M83" s="3">
        <v>0.64981134527821605</v>
      </c>
      <c r="N83" s="3">
        <v>0.47844598853917097</v>
      </c>
      <c r="O83" s="3">
        <v>0.49412556894249698</v>
      </c>
      <c r="P83" s="3">
        <v>0.54234274519049797</v>
      </c>
      <c r="Q83" s="3">
        <v>0.469912910728285</v>
      </c>
      <c r="R83" s="3">
        <v>0.55378843098735098</v>
      </c>
      <c r="S83" s="3">
        <v>0.69870142765988497</v>
      </c>
      <c r="T83" s="3">
        <v>0.57474765594643196</v>
      </c>
      <c r="U83" s="1"/>
      <c r="V83" s="1"/>
    </row>
    <row r="84" spans="1:22" x14ac:dyDescent="0.2">
      <c r="A84" s="1"/>
      <c r="B84">
        <v>790</v>
      </c>
      <c r="C84" s="3">
        <v>6.4429202509999996E-6</v>
      </c>
      <c r="D84" s="3">
        <v>7.8854352309999995E-6</v>
      </c>
      <c r="E84" s="3">
        <v>9.0102009810000006E-6</v>
      </c>
      <c r="F84" s="3">
        <v>6.5113042759999997E-6</v>
      </c>
      <c r="G84" s="3">
        <v>7.7872706330000005E-6</v>
      </c>
      <c r="H84" s="3">
        <v>1.0170176895E-5</v>
      </c>
      <c r="I84" s="3">
        <v>7.8334050329999993E-6</v>
      </c>
      <c r="J84" s="3">
        <f>J83+$X$92</f>
        <v>9.9226003619999999E-6</v>
      </c>
      <c r="K84" s="3">
        <v>1.3328750408999999E-5</v>
      </c>
      <c r="L84" s="3">
        <v>0.56573050958048599</v>
      </c>
      <c r="M84" s="3">
        <v>0.62829968512801904</v>
      </c>
      <c r="N84" s="3">
        <v>0.47810040713962698</v>
      </c>
      <c r="O84" s="3">
        <v>0.49305396525083101</v>
      </c>
      <c r="P84" s="3">
        <v>0.54094277633328802</v>
      </c>
      <c r="Q84" s="3">
        <v>0.469763211887603</v>
      </c>
      <c r="R84" s="3">
        <v>0.55344445064191194</v>
      </c>
      <c r="S84" s="3">
        <f>S83+$X$91</f>
        <v>0.69870142765988497</v>
      </c>
      <c r="T84" s="3">
        <v>0.57519823438831696</v>
      </c>
      <c r="U84" s="1"/>
      <c r="V84" s="1"/>
    </row>
    <row r="85" spans="1:22" x14ac:dyDescent="0.2">
      <c r="A85" s="1"/>
      <c r="B85">
        <v>800</v>
      </c>
      <c r="C85" s="3">
        <v>6.4728508070000003E-6</v>
      </c>
      <c r="D85" s="3">
        <v>7.7426713430000003E-6</v>
      </c>
      <c r="E85" s="3">
        <v>8.9982767599999994E-6</v>
      </c>
      <c r="F85" s="3">
        <v>6.5261625760000001E-6</v>
      </c>
      <c r="G85" s="3">
        <v>7.7480063780000002E-6</v>
      </c>
      <c r="H85" s="3">
        <v>1.0153223557E-5</v>
      </c>
      <c r="I85" s="3">
        <v>7.6548470850000004E-6</v>
      </c>
      <c r="J85" s="3">
        <f>J84+$X$92</f>
        <v>9.9226003619999999E-6</v>
      </c>
      <c r="K85" s="3">
        <v>1.3327896533000001E-5</v>
      </c>
      <c r="L85" s="3">
        <v>0.56815965910559896</v>
      </c>
      <c r="M85" s="3">
        <v>0.61687037595580396</v>
      </c>
      <c r="N85" s="3">
        <v>0.47768232680355599</v>
      </c>
      <c r="O85" s="3">
        <v>0.49379618123305602</v>
      </c>
      <c r="P85" s="3">
        <v>0.53815401167937105</v>
      </c>
      <c r="Q85" s="3">
        <v>0.469586866700966</v>
      </c>
      <c r="R85" s="3">
        <v>0.54009472112003698</v>
      </c>
      <c r="S85" s="3">
        <f>S84+$X$91</f>
        <v>0.69870142765988497</v>
      </c>
      <c r="T85" s="3">
        <v>0.57550684367624305</v>
      </c>
      <c r="U85" s="1"/>
      <c r="V85" s="1"/>
    </row>
    <row r="86" spans="1:22" x14ac:dyDescent="0.2">
      <c r="A86" s="1"/>
      <c r="B86">
        <v>810</v>
      </c>
      <c r="C86" s="3">
        <v>6.4837152520000001E-6</v>
      </c>
      <c r="D86" s="3">
        <v>7.4428315689999998E-6</v>
      </c>
      <c r="E86" s="3">
        <v>8.9850357089999994E-6</v>
      </c>
      <c r="F86" s="3">
        <v>6.5077197169999998E-6</v>
      </c>
      <c r="G86" s="3">
        <v>7.6872764100000007E-6</v>
      </c>
      <c r="H86" s="3">
        <v>1.0133284577E-5</v>
      </c>
      <c r="I86" s="3">
        <v>7.8708624790000003E-6</v>
      </c>
      <c r="J86" s="3">
        <f>J85+$X$92</f>
        <v>9.9226003619999999E-6</v>
      </c>
      <c r="K86" s="3">
        <v>1.3326458078E-5</v>
      </c>
      <c r="L86" s="3">
        <v>0.56895397367696698</v>
      </c>
      <c r="M86" s="3">
        <v>0.59316870282800405</v>
      </c>
      <c r="N86" s="3">
        <v>0.47719711406251097</v>
      </c>
      <c r="O86" s="3">
        <v>0.49201688002719102</v>
      </c>
      <c r="P86" s="3">
        <v>0.533744724966425</v>
      </c>
      <c r="Q86" s="3">
        <v>0.469286910212108</v>
      </c>
      <c r="R86" s="3">
        <v>0.55431646672850399</v>
      </c>
      <c r="S86" s="3">
        <f>S85+$X$91</f>
        <v>0.69870142765988497</v>
      </c>
      <c r="T86" s="3">
        <v>0.57580933196641204</v>
      </c>
      <c r="U86" s="1"/>
      <c r="V86" s="1"/>
    </row>
    <row r="87" spans="1:22" x14ac:dyDescent="0.2">
      <c r="A87" s="1"/>
      <c r="B87">
        <v>820</v>
      </c>
      <c r="C87" s="3">
        <v>6.4668452169999997E-6</v>
      </c>
      <c r="D87" s="3">
        <v>7.8243308499999997E-6</v>
      </c>
      <c r="E87" s="3">
        <v>8.9748384180000003E-6</v>
      </c>
      <c r="F87" s="3">
        <v>6.5049095379999998E-6</v>
      </c>
      <c r="G87" s="3">
        <v>7.7174901990000008E-6</v>
      </c>
      <c r="H87" s="3">
        <v>1.011489963E-5</v>
      </c>
      <c r="I87" s="3">
        <v>8.0943746459999997E-6</v>
      </c>
      <c r="J87" s="3">
        <v>9.8804003529999994E-6</v>
      </c>
      <c r="K87" s="3">
        <v>1.3326391119E-5</v>
      </c>
      <c r="L87" s="3">
        <v>0.56729220341034203</v>
      </c>
      <c r="M87" s="3">
        <v>0.62336711151760205</v>
      </c>
      <c r="N87" s="3">
        <v>0.476876666460396</v>
      </c>
      <c r="O87" s="3">
        <v>0.49139556956740899</v>
      </c>
      <c r="P87" s="3">
        <v>0.53568229289055402</v>
      </c>
      <c r="Q87" s="3">
        <v>0.46906311466193101</v>
      </c>
      <c r="R87" s="3">
        <v>0.56951985727419696</v>
      </c>
      <c r="S87" s="3">
        <v>0.69955882034527095</v>
      </c>
      <c r="T87" s="3">
        <v>0.57619184356587405</v>
      </c>
      <c r="U87" s="1"/>
      <c r="V87" s="1"/>
    </row>
    <row r="88" spans="1:22" x14ac:dyDescent="0.2">
      <c r="A88" s="1"/>
      <c r="B88">
        <v>830</v>
      </c>
      <c r="C88" s="3">
        <v>6.478271047E-6</v>
      </c>
      <c r="D88" s="3">
        <v>8.2693710459999993E-6</v>
      </c>
      <c r="E88" s="3">
        <v>8.964415993E-6</v>
      </c>
      <c r="F88" s="3">
        <v>6.5532099279999998E-6</v>
      </c>
      <c r="G88" s="3">
        <v>7.7280906060000006E-6</v>
      </c>
      <c r="H88" s="3">
        <v>1.0097965588999999E-5</v>
      </c>
      <c r="I88" s="3">
        <v>7.9241326490000002E-6</v>
      </c>
      <c r="J88" s="3">
        <v>9.8691094849999997E-6</v>
      </c>
      <c r="K88" s="3">
        <v>1.3325237484E-5</v>
      </c>
      <c r="L88" s="3">
        <v>0.56812142250851605</v>
      </c>
      <c r="M88" s="3">
        <v>0.65941127698106194</v>
      </c>
      <c r="N88" s="3">
        <v>0.47655299426601699</v>
      </c>
      <c r="O88" s="3">
        <v>0.49464446591873101</v>
      </c>
      <c r="P88" s="3">
        <v>0.53632366497281503</v>
      </c>
      <c r="Q88" s="3">
        <v>0.46892464668874301</v>
      </c>
      <c r="R88" s="3">
        <v>0.55678102406930596</v>
      </c>
      <c r="S88" s="3">
        <v>0.69979170071512897</v>
      </c>
      <c r="T88" s="3">
        <v>0.57655132440242296</v>
      </c>
      <c r="U88" s="1"/>
      <c r="V88" s="1"/>
    </row>
    <row r="89" spans="1:22" x14ac:dyDescent="0.2">
      <c r="A89" s="1"/>
      <c r="B89">
        <v>840</v>
      </c>
      <c r="C89" s="3">
        <v>6.4877950860000001E-6</v>
      </c>
      <c r="D89" s="3">
        <v>7.717065268E-6</v>
      </c>
      <c r="E89" s="3">
        <v>8.9497199810000004E-6</v>
      </c>
      <c r="F89" s="3">
        <v>6.5826356369999999E-6</v>
      </c>
      <c r="G89" s="3">
        <v>7.7340839250000002E-6</v>
      </c>
      <c r="H89" s="3">
        <v>1.0073923269E-5</v>
      </c>
      <c r="I89" s="3">
        <v>7.969059261E-6</v>
      </c>
      <c r="J89" s="3">
        <v>9.8545914510000001E-6</v>
      </c>
      <c r="K89" s="3">
        <v>1.3322227002E-5</v>
      </c>
      <c r="L89" s="3">
        <v>0.56880338158219801</v>
      </c>
      <c r="M89" s="3">
        <v>0.61578830399009099</v>
      </c>
      <c r="N89" s="3">
        <v>0.47600350510873402</v>
      </c>
      <c r="O89" s="3">
        <v>0.49648868916558497</v>
      </c>
      <c r="P89" s="3">
        <v>0.53661928831150696</v>
      </c>
      <c r="Q89" s="3">
        <v>0.468465912039847</v>
      </c>
      <c r="R89" s="3">
        <v>0.55918812582019295</v>
      </c>
      <c r="S89" s="3">
        <v>0.699819547296054</v>
      </c>
      <c r="T89" s="3">
        <v>0.57685397939182403</v>
      </c>
      <c r="U89" s="1"/>
      <c r="V89" s="1"/>
    </row>
    <row r="90" spans="1:22" x14ac:dyDescent="0.2">
      <c r="A90" s="1"/>
      <c r="B90">
        <v>850</v>
      </c>
      <c r="C90" s="3">
        <v>6.4848767030000002E-6</v>
      </c>
      <c r="D90" s="3">
        <v>7.7792422190000008E-6</v>
      </c>
      <c r="E90" s="3">
        <v>8.9413858539999994E-6</v>
      </c>
      <c r="F90" s="3">
        <v>6.5751281440000004E-6</v>
      </c>
      <c r="G90" s="3">
        <v>7.7466297480000004E-6</v>
      </c>
      <c r="H90" s="3">
        <v>1.0054477945000001E-5</v>
      </c>
      <c r="I90" s="3">
        <v>7.9172599580000002E-6</v>
      </c>
      <c r="J90" s="3">
        <v>9.8414770059999995E-6</v>
      </c>
      <c r="K90" s="3">
        <v>1.3318563738E-5</v>
      </c>
      <c r="L90" s="3">
        <v>0.56839368875468599</v>
      </c>
      <c r="M90" s="3">
        <v>0.62075562739689705</v>
      </c>
      <c r="N90" s="3">
        <v>0.47579308212236698</v>
      </c>
      <c r="O90" s="3">
        <v>0.49553503108903901</v>
      </c>
      <c r="P90" s="3">
        <v>0.53736084686796604</v>
      </c>
      <c r="Q90" s="3">
        <v>0.46821983938158002</v>
      </c>
      <c r="R90" s="3">
        <v>0.55483169970892099</v>
      </c>
      <c r="S90" s="3">
        <v>0.69997030784774605</v>
      </c>
      <c r="T90" s="3">
        <v>0.57714837778628503</v>
      </c>
      <c r="U90" s="1"/>
      <c r="V90" s="1"/>
    </row>
    <row r="91" spans="1:22" x14ac:dyDescent="0.2">
      <c r="A91" s="1"/>
      <c r="B91">
        <v>860</v>
      </c>
      <c r="C91" s="3">
        <v>6.4367589689999996E-6</v>
      </c>
      <c r="D91" s="3">
        <v>7.8431633600000006E-6</v>
      </c>
      <c r="E91" s="3">
        <v>8.9275670869999996E-6</v>
      </c>
      <c r="F91" s="3">
        <v>6.5758986889999998E-6</v>
      </c>
      <c r="G91" s="3">
        <v>7.8068733449999999E-6</v>
      </c>
      <c r="H91" s="3">
        <v>1.0039362466000001E-5</v>
      </c>
      <c r="I91" s="3">
        <v>7.9959812769999999E-6</v>
      </c>
      <c r="J91" s="3">
        <v>9.8286679220000008E-6</v>
      </c>
      <c r="K91" s="3">
        <v>1.3315433069E-5</v>
      </c>
      <c r="L91" s="3">
        <v>0.56402846154881903</v>
      </c>
      <c r="M91" s="3">
        <v>0.62607102044859397</v>
      </c>
      <c r="N91" s="3">
        <v>0.475307409709881</v>
      </c>
      <c r="O91" s="3">
        <v>0.49520047454427601</v>
      </c>
      <c r="P91" s="3">
        <v>0.54142685669048196</v>
      </c>
      <c r="Q91" s="3">
        <v>0.46819630756645397</v>
      </c>
      <c r="R91" s="3">
        <v>0.55950985827620603</v>
      </c>
      <c r="S91" s="3">
        <v>0.70017171332058403</v>
      </c>
      <c r="T91" s="3">
        <v>0.57748641284277302</v>
      </c>
      <c r="U91" s="1"/>
      <c r="V91" s="1"/>
    </row>
    <row r="92" spans="1:22" x14ac:dyDescent="0.2">
      <c r="A92" s="1"/>
      <c r="B92">
        <v>870</v>
      </c>
      <c r="C92" s="3">
        <v>6.4821730759999997E-6</v>
      </c>
      <c r="D92" s="3">
        <v>7.8740892729999992E-6</v>
      </c>
      <c r="E92" s="3">
        <v>8.9110986419999992E-6</v>
      </c>
      <c r="F92" s="3">
        <v>6.6085134010000001E-6</v>
      </c>
      <c r="G92" s="3">
        <v>7.7541361670000004E-6</v>
      </c>
      <c r="H92" s="3">
        <v>1.0015605997E-5</v>
      </c>
      <c r="I92" s="3">
        <v>8.0451743400000002E-6</v>
      </c>
      <c r="J92" s="3">
        <v>9.8138997109999997E-6</v>
      </c>
      <c r="K92" s="3">
        <v>1.3310640217000001E-5</v>
      </c>
      <c r="L92" s="3">
        <v>0.56780396760676</v>
      </c>
      <c r="M92" s="3">
        <v>0.62861146076969998</v>
      </c>
      <c r="N92" s="3">
        <v>0.474665454614697</v>
      </c>
      <c r="O92" s="3">
        <v>0.497261921340032</v>
      </c>
      <c r="P92" s="3">
        <v>0.53773089123687401</v>
      </c>
      <c r="Q92" s="3">
        <v>0.46778249535591898</v>
      </c>
      <c r="R92" s="3">
        <v>0.56230314904817602</v>
      </c>
      <c r="S92" s="3">
        <v>0.700258782933462</v>
      </c>
      <c r="T92" s="3">
        <v>0.577781664882701</v>
      </c>
      <c r="U92" s="1"/>
      <c r="V92" s="1"/>
    </row>
    <row r="93" spans="1:22" x14ac:dyDescent="0.2">
      <c r="A93" s="1"/>
      <c r="B93">
        <v>880</v>
      </c>
      <c r="C93" s="3">
        <v>6.5347586669999998E-6</v>
      </c>
      <c r="D93" s="3">
        <v>7.9572760640000004E-6</v>
      </c>
      <c r="E93" s="3">
        <v>8.9018574410000004E-6</v>
      </c>
      <c r="F93" s="3">
        <v>6.6092289210000004E-6</v>
      </c>
      <c r="G93" s="3">
        <v>7.6923717369999997E-6</v>
      </c>
      <c r="H93" s="3">
        <v>9.9933037930000002E-6</v>
      </c>
      <c r="I93" s="3">
        <v>8.0109578170000007E-6</v>
      </c>
      <c r="J93" s="3">
        <v>9.7980692380000007E-6</v>
      </c>
      <c r="K93" s="3">
        <v>1.3304766098E-5</v>
      </c>
      <c r="L93" s="3">
        <v>0.57231890461647295</v>
      </c>
      <c r="M93" s="3">
        <v>0.63585880419218799</v>
      </c>
      <c r="N93" s="3">
        <v>0.47441902518289902</v>
      </c>
      <c r="O93" s="3">
        <v>0.49694164443643202</v>
      </c>
      <c r="P93" s="3">
        <v>0.53324325820014695</v>
      </c>
      <c r="Q93" s="3">
        <v>0.467434503276832</v>
      </c>
      <c r="R93" s="3">
        <v>0.55911514057073997</v>
      </c>
      <c r="S93" s="3">
        <v>0.70029507875709995</v>
      </c>
      <c r="T93" s="3">
        <v>0.57804331175350399</v>
      </c>
      <c r="U93" s="1"/>
      <c r="V93" s="1"/>
    </row>
    <row r="94" spans="1:22" x14ac:dyDescent="0.2">
      <c r="A94" s="1"/>
      <c r="B94">
        <v>890</v>
      </c>
      <c r="C94" s="3">
        <v>6.4942861440000004E-6</v>
      </c>
      <c r="D94" s="3">
        <v>7.9276010899999996E-6</v>
      </c>
      <c r="E94" s="3">
        <v>8.8916827079999995E-6</v>
      </c>
      <c r="F94" s="3">
        <v>6.5846429289999998E-6</v>
      </c>
      <c r="G94" s="3">
        <v>7.7383178620000007E-6</v>
      </c>
      <c r="H94" s="3">
        <v>9.9739998240000008E-6</v>
      </c>
      <c r="I94" s="3">
        <v>8.0657290919999998E-6</v>
      </c>
      <c r="J94" s="3">
        <v>9.7821705609999995E-6</v>
      </c>
      <c r="K94" s="3">
        <v>1.3298558460999999E-5</v>
      </c>
      <c r="L94" s="3">
        <v>0.56864088747880104</v>
      </c>
      <c r="M94" s="3">
        <v>0.63362563907587499</v>
      </c>
      <c r="N94" s="3">
        <v>0.47412557439710801</v>
      </c>
      <c r="O94" s="3">
        <v>0.49468679819934402</v>
      </c>
      <c r="P94" s="3">
        <v>0.536295665479953</v>
      </c>
      <c r="Q94" s="3">
        <v>0.46724372917705498</v>
      </c>
      <c r="R94" s="3">
        <v>0.56223171742859002</v>
      </c>
      <c r="S94" s="3">
        <v>0.70034822287668297</v>
      </c>
      <c r="T94" s="3">
        <v>0.57831353093660498</v>
      </c>
      <c r="U94" s="1"/>
      <c r="V94" s="1"/>
    </row>
    <row r="95" spans="1:22" x14ac:dyDescent="0.2">
      <c r="A95" s="1"/>
      <c r="B95">
        <v>900</v>
      </c>
      <c r="C95" s="3">
        <v>6.4969699950000003E-6</v>
      </c>
      <c r="D95" s="3">
        <v>7.6905386769999999E-6</v>
      </c>
      <c r="E95" s="3">
        <v>8.8746933379999993E-6</v>
      </c>
      <c r="F95" s="3">
        <v>6.5946969889999997E-6</v>
      </c>
      <c r="G95" s="3">
        <v>7.7732352579999993E-6</v>
      </c>
      <c r="H95" s="3">
        <v>9.9509070709999998E-6</v>
      </c>
      <c r="I95" s="3">
        <v>8.0503242619999999E-6</v>
      </c>
      <c r="J95" s="3">
        <v>9.7675643179999998E-6</v>
      </c>
      <c r="K95" s="3">
        <v>1.3291736105E-5</v>
      </c>
      <c r="L95" s="3">
        <v>0.56874806475795103</v>
      </c>
      <c r="M95" s="3">
        <v>0.61520874697768702</v>
      </c>
      <c r="N95" s="3">
        <v>0.47347617960538102</v>
      </c>
      <c r="O95" s="3">
        <v>0.495022718794219</v>
      </c>
      <c r="P95" s="3">
        <v>0.53860459329371901</v>
      </c>
      <c r="Q95" s="3">
        <v>0.46688309284720703</v>
      </c>
      <c r="R95" s="3">
        <v>0.56040197541624004</v>
      </c>
      <c r="S95" s="3">
        <v>0.70051921118222404</v>
      </c>
      <c r="T95" s="3">
        <v>0.57857715170261004</v>
      </c>
      <c r="U95" s="1"/>
      <c r="V95" s="1"/>
    </row>
    <row r="96" spans="1:22" x14ac:dyDescent="0.2">
      <c r="A96" s="1"/>
      <c r="B96">
        <v>910</v>
      </c>
      <c r="C96" s="3">
        <v>6.4964089149999996E-6</v>
      </c>
      <c r="D96" s="3">
        <v>7.7360581220000007E-6</v>
      </c>
      <c r="E96" s="3">
        <v>8.8626911450000002E-6</v>
      </c>
      <c r="F96" s="3">
        <v>6.6202854189999997E-6</v>
      </c>
      <c r="G96" s="3">
        <v>7.7671874340000007E-6</v>
      </c>
      <c r="H96" s="3">
        <v>9.9292689950000002E-6</v>
      </c>
      <c r="I96" s="3">
        <v>8.0829919089999997E-6</v>
      </c>
      <c r="J96" s="3">
        <v>9.7493445139999995E-6</v>
      </c>
      <c r="K96" s="3">
        <v>1.3284045279E-5</v>
      </c>
      <c r="L96" s="3">
        <v>0.568571573342879</v>
      </c>
      <c r="M96" s="3">
        <v>0.61864690409314604</v>
      </c>
      <c r="N96" s="3">
        <v>0.47307733669993701</v>
      </c>
      <c r="O96" s="3">
        <v>0.49653251255019398</v>
      </c>
      <c r="P96" s="3">
        <v>0.53807257571052802</v>
      </c>
      <c r="Q96" s="3">
        <v>0.46659503780700001</v>
      </c>
      <c r="R96" s="3">
        <v>0.56192139933535601</v>
      </c>
      <c r="S96" s="3">
        <v>0.70045986018260398</v>
      </c>
      <c r="T96" s="3">
        <v>0.57883184865048998</v>
      </c>
      <c r="U96" s="1"/>
      <c r="V96" s="1"/>
    </row>
    <row r="97" spans="1:22" x14ac:dyDescent="0.2">
      <c r="A97" s="1"/>
      <c r="B97">
        <v>920</v>
      </c>
      <c r="C97" s="3">
        <v>6.4999828780000004E-6</v>
      </c>
      <c r="D97" s="3">
        <v>7.9417433049999996E-6</v>
      </c>
      <c r="E97" s="3">
        <v>8.8529743079999993E-6</v>
      </c>
      <c r="F97" s="3">
        <v>6.6462319619999997E-6</v>
      </c>
      <c r="G97" s="3">
        <v>7.7619238399999994E-6</v>
      </c>
      <c r="H97" s="3">
        <v>9.9090172369999992E-6</v>
      </c>
      <c r="I97" s="3">
        <v>8.1460105669999995E-6</v>
      </c>
      <c r="J97" s="3">
        <v>9.7312041050000001E-6</v>
      </c>
      <c r="K97" s="3">
        <v>1.3275735946E-5</v>
      </c>
      <c r="L97" s="3">
        <v>0.56876000467018395</v>
      </c>
      <c r="M97" s="3">
        <v>0.63577205044588003</v>
      </c>
      <c r="N97" s="3">
        <v>0.472823474091153</v>
      </c>
      <c r="O97" s="3">
        <v>0.49807875307754701</v>
      </c>
      <c r="P97" s="3">
        <v>0.537586415265214</v>
      </c>
      <c r="Q97" s="3">
        <v>0.46638540653791999</v>
      </c>
      <c r="R97" s="3">
        <v>0.56556909454931004</v>
      </c>
      <c r="S97" s="3">
        <v>0.70042054197177495</v>
      </c>
      <c r="T97" s="3">
        <v>0.57907113596703597</v>
      </c>
      <c r="U97" s="1"/>
      <c r="V97" s="1"/>
    </row>
    <row r="98" spans="1:22" x14ac:dyDescent="0.2">
      <c r="A98" s="1"/>
      <c r="B98">
        <v>930</v>
      </c>
      <c r="C98" s="3">
        <v>6.4982577059999998E-6</v>
      </c>
      <c r="D98" s="3">
        <v>7.6985627149999998E-6</v>
      </c>
      <c r="E98" s="3">
        <v>8.8375229680000008E-6</v>
      </c>
      <c r="F98" s="3">
        <v>6.6515510800000004E-6</v>
      </c>
      <c r="G98" s="3">
        <v>7.7708164139999998E-6</v>
      </c>
      <c r="H98" s="3">
        <v>9.8859904520000004E-6</v>
      </c>
      <c r="I98" s="3">
        <v>8.0593278520000007E-6</v>
      </c>
      <c r="J98" s="3">
        <v>9.7145065090000005E-6</v>
      </c>
      <c r="K98" s="3">
        <v>1.3266491939E-5</v>
      </c>
      <c r="L98" s="3">
        <v>0.568502321263193</v>
      </c>
      <c r="M98" s="3">
        <v>0.61667557594166</v>
      </c>
      <c r="N98" s="3">
        <v>0.47225222280741003</v>
      </c>
      <c r="O98" s="3">
        <v>0.49807827887589401</v>
      </c>
      <c r="P98" s="3">
        <v>0.53806058640072496</v>
      </c>
      <c r="Q98" s="3">
        <v>0.46605357315180201</v>
      </c>
      <c r="R98" s="3">
        <v>0.55885692134063103</v>
      </c>
      <c r="S98" s="3">
        <v>0.70051350799495304</v>
      </c>
      <c r="T98" s="3">
        <v>0.57930610091265</v>
      </c>
      <c r="U98" s="1"/>
      <c r="V98" s="1"/>
    </row>
    <row r="99" spans="1:22" x14ac:dyDescent="0.2">
      <c r="A99" s="1"/>
      <c r="B99">
        <v>940</v>
      </c>
      <c r="C99" s="3">
        <v>6.5085391000000004E-6</v>
      </c>
      <c r="D99" s="3">
        <v>7.7797629910000006E-6</v>
      </c>
      <c r="E99" s="3">
        <v>8.8265463829999995E-6</v>
      </c>
      <c r="F99" s="3">
        <v>6.6037866220000002E-6</v>
      </c>
      <c r="G99" s="3">
        <v>7.7143644579999998E-6</v>
      </c>
      <c r="H99" s="3">
        <v>9.8620548000000003E-6</v>
      </c>
      <c r="I99" s="3">
        <v>8.1310709739999999E-6</v>
      </c>
      <c r="J99" s="3">
        <v>9.6963013149999996E-6</v>
      </c>
      <c r="K99" s="3">
        <v>1.3256282956E-5</v>
      </c>
      <c r="L99" s="3">
        <v>0.56926792183298003</v>
      </c>
      <c r="M99" s="3">
        <v>0.62327551888234001</v>
      </c>
      <c r="N99" s="3">
        <v>0.47192673989131201</v>
      </c>
      <c r="O99" s="3">
        <v>0.49409329160955701</v>
      </c>
      <c r="P99" s="3">
        <v>0.53405387137071303</v>
      </c>
      <c r="Q99" s="3">
        <v>0.46568717924099701</v>
      </c>
      <c r="R99" s="3">
        <v>0.562961495558715</v>
      </c>
      <c r="S99" s="3">
        <v>0.70051963468666301</v>
      </c>
      <c r="T99" s="3">
        <v>0.57950242537386099</v>
      </c>
      <c r="U99" s="1"/>
      <c r="V99" s="1"/>
    </row>
    <row r="100" spans="1:22" x14ac:dyDescent="0.2">
      <c r="A100" s="1"/>
      <c r="B100">
        <v>950</v>
      </c>
      <c r="C100" s="3">
        <v>6.5188051899999997E-6</v>
      </c>
      <c r="D100" s="3">
        <v>7.8435154539999999E-6</v>
      </c>
      <c r="E100" s="3">
        <v>8.8123255740000001E-6</v>
      </c>
      <c r="F100" s="3">
        <v>6.6500622840000001E-6</v>
      </c>
      <c r="G100" s="3">
        <v>7.7796070609999993E-6</v>
      </c>
      <c r="H100" s="3">
        <v>9.8393228480000007E-6</v>
      </c>
      <c r="I100" s="3">
        <v>8.260460705E-6</v>
      </c>
      <c r="J100" s="3">
        <v>9.6764700169999996E-6</v>
      </c>
      <c r="K100" s="3">
        <v>1.3245689514E-5</v>
      </c>
      <c r="L100" s="3">
        <v>0.57005681479009396</v>
      </c>
      <c r="M100" s="3">
        <v>0.62864123865031596</v>
      </c>
      <c r="N100" s="3">
        <v>0.47143274718481998</v>
      </c>
      <c r="O100" s="3">
        <v>0.49708103671685899</v>
      </c>
      <c r="P100" s="3">
        <v>0.53835371050772296</v>
      </c>
      <c r="Q100" s="3">
        <v>0.46538455668180601</v>
      </c>
      <c r="R100" s="3">
        <v>0.57128668897059098</v>
      </c>
      <c r="S100" s="3">
        <v>0.70043257523787605</v>
      </c>
      <c r="T100" s="3">
        <v>0.57970806390150298</v>
      </c>
      <c r="U100" s="1"/>
      <c r="V100" s="1"/>
    </row>
    <row r="101" spans="1:22" x14ac:dyDescent="0.2">
      <c r="A101" s="1"/>
      <c r="B101">
        <v>960</v>
      </c>
      <c r="C101" s="3">
        <v>6.5107458409999999E-6</v>
      </c>
      <c r="D101" s="3">
        <v>7.8618744960000007E-6</v>
      </c>
      <c r="E101" s="3">
        <v>8.7988205360000003E-6</v>
      </c>
      <c r="F101" s="3">
        <v>6.7149629419999997E-6</v>
      </c>
      <c r="G101" s="3">
        <v>7.823664609E-6</v>
      </c>
      <c r="H101" s="3">
        <v>9.8173551950000004E-6</v>
      </c>
      <c r="I101" s="3">
        <v>8.2328355160000007E-6</v>
      </c>
      <c r="J101" s="3">
        <v>9.6564907690000005E-6</v>
      </c>
      <c r="K101" s="3">
        <v>1.3234287695E-5</v>
      </c>
      <c r="L101" s="3">
        <v>0.56925541389519496</v>
      </c>
      <c r="M101" s="3">
        <v>0.63055967911947397</v>
      </c>
      <c r="N101" s="3">
        <v>0.47097096360323698</v>
      </c>
      <c r="O101" s="3">
        <v>0.50155616528801505</v>
      </c>
      <c r="P101" s="3">
        <v>0.54139068542066804</v>
      </c>
      <c r="Q101" s="3">
        <v>0.46512119039067501</v>
      </c>
      <c r="R101" s="3">
        <v>0.56865210758046503</v>
      </c>
      <c r="S101" s="3">
        <v>0.700349732183423</v>
      </c>
      <c r="T101" s="3">
        <v>0.57989895001001301</v>
      </c>
      <c r="U101" s="1"/>
      <c r="V101" s="1"/>
    </row>
    <row r="102" spans="1:22" x14ac:dyDescent="0.2">
      <c r="A102" s="1"/>
      <c r="B102">
        <v>970</v>
      </c>
      <c r="C102" s="3">
        <v>6.5068140489999997E-6</v>
      </c>
      <c r="D102" s="3">
        <v>7.7444019850000007E-6</v>
      </c>
      <c r="E102" s="3">
        <v>8.7841559419999993E-6</v>
      </c>
      <c r="F102" s="3">
        <v>6.681275475E-6</v>
      </c>
      <c r="G102" s="3">
        <v>7.7560706300000006E-6</v>
      </c>
      <c r="H102" s="3">
        <v>9.7949037539999999E-6</v>
      </c>
      <c r="I102" s="3">
        <v>8.2472718380000003E-6</v>
      </c>
      <c r="J102" s="3">
        <v>9.6363878160000005E-6</v>
      </c>
      <c r="K102" s="3">
        <v>1.3222496232E-5</v>
      </c>
      <c r="L102" s="3">
        <v>0.56880382390383399</v>
      </c>
      <c r="M102" s="3">
        <v>0.621598244842821</v>
      </c>
      <c r="N102" s="3">
        <v>0.47045141863193601</v>
      </c>
      <c r="O102" s="3">
        <v>0.49862924201137998</v>
      </c>
      <c r="P102" s="3">
        <v>0.53657630504905995</v>
      </c>
      <c r="Q102" s="3">
        <v>0.46485059182468602</v>
      </c>
      <c r="R102" s="3">
        <v>0.56895396001244003</v>
      </c>
      <c r="S102" s="3">
        <v>0.70028582299308795</v>
      </c>
      <c r="T102" s="3">
        <v>0.58009653436236097</v>
      </c>
      <c r="U102" s="1"/>
      <c r="V102" s="1"/>
    </row>
    <row r="103" spans="1:22" x14ac:dyDescent="0.2">
      <c r="A103" s="1"/>
      <c r="B103">
        <v>980</v>
      </c>
      <c r="C103" s="3">
        <v>6.5124332800000001E-6</v>
      </c>
      <c r="D103" s="3">
        <v>7.7963540409999992E-6</v>
      </c>
      <c r="E103" s="3">
        <v>8.7717788830000002E-6</v>
      </c>
      <c r="F103" s="3">
        <v>6.6864705390000002E-6</v>
      </c>
      <c r="G103" s="3">
        <v>7.7914005520000008E-6</v>
      </c>
      <c r="H103" s="3">
        <v>9.7705872449999995E-6</v>
      </c>
      <c r="I103" s="3">
        <v>8.2212393690000001E-6</v>
      </c>
      <c r="J103" s="3">
        <v>9.6167193370000008E-6</v>
      </c>
      <c r="K103" s="3">
        <v>1.3209735605E-5</v>
      </c>
      <c r="L103" s="3">
        <v>0.56918617946041705</v>
      </c>
      <c r="M103" s="3">
        <v>0.62591766703990803</v>
      </c>
      <c r="N103" s="3">
        <v>0.47004698332204298</v>
      </c>
      <c r="O103" s="3">
        <v>0.49858141151218899</v>
      </c>
      <c r="P103" s="3">
        <v>0.53887188415738096</v>
      </c>
      <c r="Q103" s="3">
        <v>0.46449943242875102</v>
      </c>
      <c r="R103" s="3">
        <v>0.56642923997747996</v>
      </c>
      <c r="S103" s="3">
        <v>0.70026815130122899</v>
      </c>
      <c r="T103" s="3">
        <v>0.58027681639990703</v>
      </c>
      <c r="U103" s="1"/>
      <c r="V103" s="1"/>
    </row>
    <row r="104" spans="1:22" x14ac:dyDescent="0.2">
      <c r="A104" s="1"/>
      <c r="B104">
        <v>990</v>
      </c>
      <c r="C104" s="4">
        <v>6.5168231100000002E-6</v>
      </c>
      <c r="D104" s="4">
        <v>7.7364444639999997E-6</v>
      </c>
      <c r="E104" s="4">
        <v>8.7597392640000003E-6</v>
      </c>
      <c r="F104" s="4">
        <v>6.7010153850000001E-6</v>
      </c>
      <c r="G104" s="4">
        <v>7.8022989470000003E-6</v>
      </c>
      <c r="H104" s="4">
        <v>9.7454808180000006E-6</v>
      </c>
      <c r="I104" s="4">
        <v>8.2817891539999995E-6</v>
      </c>
      <c r="J104" s="4">
        <v>9.5987332619999998E-6</v>
      </c>
      <c r="K104" s="4">
        <v>1.3195696757E-5</v>
      </c>
      <c r="L104" s="4">
        <v>0.56947146686192596</v>
      </c>
      <c r="M104" s="4">
        <v>0.62170716352034805</v>
      </c>
      <c r="N104" s="4">
        <v>0.46967314741695798</v>
      </c>
      <c r="O104" s="4">
        <v>0.49923969021694498</v>
      </c>
      <c r="P104" s="4">
        <v>0.53952478603529497</v>
      </c>
      <c r="Q104" s="4">
        <v>0.46411502226075502</v>
      </c>
      <c r="R104" s="4">
        <v>0.56983343862470004</v>
      </c>
      <c r="S104" s="4">
        <v>0.70040262542948795</v>
      </c>
      <c r="T104" s="4">
        <v>0.58040564785286197</v>
      </c>
      <c r="U104" s="1"/>
      <c r="V104" s="1"/>
    </row>
    <row r="105" spans="1:2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</sheetData>
  <mergeCells count="59">
    <mergeCell ref="DR3:DW3"/>
    <mergeCell ref="DX3:EC3"/>
    <mergeCell ref="EA4:EC4"/>
    <mergeCell ref="DX4:DZ4"/>
    <mergeCell ref="DR4:DT4"/>
    <mergeCell ref="DU4:DW4"/>
    <mergeCell ref="CD4:CF4"/>
    <mergeCell ref="CA4:CC4"/>
    <mergeCell ref="CA3:CF3"/>
    <mergeCell ref="BU3:BZ3"/>
    <mergeCell ref="BI4:BK4"/>
    <mergeCell ref="BL4:BN4"/>
    <mergeCell ref="BO4:BQ4"/>
    <mergeCell ref="BR4:BT4"/>
    <mergeCell ref="BU4:BW4"/>
    <mergeCell ref="BX4:BZ4"/>
    <mergeCell ref="BI3:BN3"/>
    <mergeCell ref="BO3:BT3"/>
    <mergeCell ref="CM3:CR3"/>
    <mergeCell ref="CG3:CL3"/>
    <mergeCell ref="CP4:CR4"/>
    <mergeCell ref="CM4:CO4"/>
    <mergeCell ref="CJ4:CL4"/>
    <mergeCell ref="CG4:CI4"/>
    <mergeCell ref="DL3:DQ3"/>
    <mergeCell ref="CT3:CY3"/>
    <mergeCell ref="CZ3:DE3"/>
    <mergeCell ref="CT4:CV4"/>
    <mergeCell ref="CW4:CY4"/>
    <mergeCell ref="CZ4:DB4"/>
    <mergeCell ref="DC4:DE4"/>
    <mergeCell ref="DF4:DH4"/>
    <mergeCell ref="DI4:DK4"/>
    <mergeCell ref="DL4:DN4"/>
    <mergeCell ref="DO4:DQ4"/>
    <mergeCell ref="DF3:DK3"/>
    <mergeCell ref="BB3:BG3"/>
    <mergeCell ref="AP4:AR4"/>
    <mergeCell ref="AS4:AU4"/>
    <mergeCell ref="AV4:AX4"/>
    <mergeCell ref="AY4:BA4"/>
    <mergeCell ref="BB4:BD4"/>
    <mergeCell ref="BE4:BG4"/>
    <mergeCell ref="AP3:AU3"/>
    <mergeCell ref="AV3:BA3"/>
    <mergeCell ref="AD3:AI3"/>
    <mergeCell ref="AJ3:AO3"/>
    <mergeCell ref="AD4:AF4"/>
    <mergeCell ref="AG4:AI4"/>
    <mergeCell ref="AJ4:AL4"/>
    <mergeCell ref="AM4:AO4"/>
    <mergeCell ref="B1:T1"/>
    <mergeCell ref="X3:AC3"/>
    <mergeCell ref="X4:Z4"/>
    <mergeCell ref="AA4:AC4"/>
    <mergeCell ref="C2:K2"/>
    <mergeCell ref="L2:T2"/>
    <mergeCell ref="L3:T3"/>
    <mergeCell ref="C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75B6-BA30-D049-8964-694DC25BEF30}">
  <sheetPr filterMode="1"/>
  <dimension ref="C3:K99"/>
  <sheetViews>
    <sheetView workbookViewId="0">
      <selection activeCell="E8" sqref="E8:G98"/>
    </sheetView>
  </sheetViews>
  <sheetFormatPr baseColWidth="10" defaultRowHeight="16" x14ac:dyDescent="0.2"/>
  <cols>
    <col min="3" max="11" width="17.5" customWidth="1"/>
  </cols>
  <sheetData>
    <row r="3" spans="3:11" x14ac:dyDescent="0.2"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36</v>
      </c>
    </row>
    <row r="4" spans="3:11" hidden="1" x14ac:dyDescent="0.2">
      <c r="C4" t="s">
        <v>43</v>
      </c>
      <c r="D4" t="s">
        <v>44</v>
      </c>
      <c r="E4" t="s">
        <v>45</v>
      </c>
      <c r="F4" t="s">
        <v>62</v>
      </c>
      <c r="G4" t="s">
        <v>61</v>
      </c>
      <c r="H4" t="s">
        <v>94</v>
      </c>
    </row>
    <row r="5" spans="3:11" hidden="1" x14ac:dyDescent="0.2">
      <c r="C5" t="s">
        <v>46</v>
      </c>
      <c r="D5" t="s">
        <v>44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73</v>
      </c>
    </row>
    <row r="6" spans="3:11" hidden="1" x14ac:dyDescent="0.2">
      <c r="C6" t="s">
        <v>53</v>
      </c>
      <c r="D6" t="s">
        <v>0</v>
      </c>
      <c r="E6" t="s">
        <v>3</v>
      </c>
      <c r="F6" t="s">
        <v>4</v>
      </c>
      <c r="G6" t="s">
        <v>5</v>
      </c>
      <c r="H6" t="s">
        <v>54</v>
      </c>
      <c r="I6" t="s">
        <v>55</v>
      </c>
      <c r="J6" t="s">
        <v>56</v>
      </c>
    </row>
    <row r="7" spans="3:11" hidden="1" x14ac:dyDescent="0.2">
      <c r="D7">
        <v>250</v>
      </c>
      <c r="E7">
        <v>19.196000000000002</v>
      </c>
      <c r="F7">
        <v>19.196000000000002</v>
      </c>
      <c r="G7">
        <v>0</v>
      </c>
      <c r="H7">
        <v>0</v>
      </c>
      <c r="I7">
        <v>0</v>
      </c>
      <c r="J7">
        <v>0</v>
      </c>
    </row>
    <row r="8" spans="3:11" x14ac:dyDescent="0.2">
      <c r="D8" t="s">
        <v>57</v>
      </c>
      <c r="E8">
        <v>12.481</v>
      </c>
      <c r="F8">
        <v>12.481</v>
      </c>
      <c r="G8">
        <v>0</v>
      </c>
      <c r="H8">
        <v>0</v>
      </c>
      <c r="I8">
        <v>0</v>
      </c>
      <c r="J8">
        <v>0</v>
      </c>
    </row>
    <row r="9" spans="3:11" hidden="1" x14ac:dyDescent="0.2">
      <c r="C9" t="s">
        <v>35</v>
      </c>
    </row>
    <row r="10" spans="3:11" hidden="1" x14ac:dyDescent="0.2">
      <c r="C10" t="s">
        <v>43</v>
      </c>
      <c r="D10" t="s">
        <v>44</v>
      </c>
      <c r="E10" t="s">
        <v>45</v>
      </c>
      <c r="F10" t="s">
        <v>64</v>
      </c>
      <c r="G10" t="s">
        <v>61</v>
      </c>
      <c r="H10" t="s">
        <v>95</v>
      </c>
    </row>
    <row r="11" spans="3:11" hidden="1" x14ac:dyDescent="0.2">
      <c r="C11" t="s">
        <v>46</v>
      </c>
      <c r="D11" t="s">
        <v>44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75</v>
      </c>
    </row>
    <row r="12" spans="3:11" hidden="1" x14ac:dyDescent="0.2">
      <c r="C12" t="s">
        <v>53</v>
      </c>
      <c r="D12" t="s">
        <v>0</v>
      </c>
      <c r="E12" t="s">
        <v>3</v>
      </c>
      <c r="F12" t="s">
        <v>4</v>
      </c>
      <c r="G12" t="s">
        <v>5</v>
      </c>
      <c r="H12" t="s">
        <v>54</v>
      </c>
      <c r="I12" t="s">
        <v>55</v>
      </c>
      <c r="J12" t="s">
        <v>56</v>
      </c>
    </row>
    <row r="13" spans="3:11" hidden="1" x14ac:dyDescent="0.2">
      <c r="D13">
        <v>300</v>
      </c>
      <c r="E13">
        <v>16.001000000000001</v>
      </c>
      <c r="F13">
        <v>16.001000000000001</v>
      </c>
      <c r="G13">
        <v>0</v>
      </c>
      <c r="H13">
        <v>0</v>
      </c>
      <c r="I13">
        <v>0</v>
      </c>
      <c r="J13">
        <v>0</v>
      </c>
    </row>
    <row r="14" spans="3:11" x14ac:dyDescent="0.2">
      <c r="D14" t="s">
        <v>57</v>
      </c>
      <c r="E14">
        <v>10.39</v>
      </c>
      <c r="F14">
        <v>10.39</v>
      </c>
      <c r="G14">
        <v>0</v>
      </c>
      <c r="H14">
        <v>0</v>
      </c>
      <c r="I14">
        <v>0</v>
      </c>
      <c r="J14">
        <v>0</v>
      </c>
    </row>
    <row r="15" spans="3:11" hidden="1" x14ac:dyDescent="0.2">
      <c r="C15" t="s">
        <v>35</v>
      </c>
    </row>
    <row r="16" spans="3:11" hidden="1" x14ac:dyDescent="0.2">
      <c r="C16" t="s">
        <v>43</v>
      </c>
      <c r="D16" t="s">
        <v>44</v>
      </c>
      <c r="E16" t="s">
        <v>45</v>
      </c>
      <c r="F16" t="s">
        <v>65</v>
      </c>
      <c r="G16" t="s">
        <v>63</v>
      </c>
      <c r="H16" t="s">
        <v>96</v>
      </c>
    </row>
    <row r="17" spans="3:11" hidden="1" x14ac:dyDescent="0.2">
      <c r="C17" t="s">
        <v>46</v>
      </c>
      <c r="D17" t="s">
        <v>44</v>
      </c>
      <c r="E17" t="s">
        <v>47</v>
      </c>
      <c r="F17" t="s">
        <v>48</v>
      </c>
      <c r="G17" t="s">
        <v>49</v>
      </c>
      <c r="H17" t="s">
        <v>50</v>
      </c>
      <c r="I17" t="s">
        <v>51</v>
      </c>
      <c r="J17" t="s">
        <v>52</v>
      </c>
      <c r="K17" t="s">
        <v>84</v>
      </c>
    </row>
    <row r="18" spans="3:11" hidden="1" x14ac:dyDescent="0.2">
      <c r="C18" t="s">
        <v>53</v>
      </c>
      <c r="D18" t="s">
        <v>0</v>
      </c>
      <c r="E18" t="s">
        <v>3</v>
      </c>
      <c r="F18" t="s">
        <v>4</v>
      </c>
      <c r="G18" t="s">
        <v>5</v>
      </c>
      <c r="H18" t="s">
        <v>54</v>
      </c>
      <c r="I18" t="s">
        <v>55</v>
      </c>
      <c r="J18" t="s">
        <v>56</v>
      </c>
    </row>
    <row r="19" spans="3:11" hidden="1" x14ac:dyDescent="0.2">
      <c r="D19">
        <v>350</v>
      </c>
      <c r="E19">
        <v>13.73</v>
      </c>
      <c r="F19">
        <v>13.73</v>
      </c>
      <c r="G19">
        <v>0</v>
      </c>
      <c r="H19">
        <v>0</v>
      </c>
      <c r="I19">
        <v>0</v>
      </c>
      <c r="J19">
        <v>0</v>
      </c>
    </row>
    <row r="20" spans="3:11" x14ac:dyDescent="0.2">
      <c r="D20" t="s">
        <v>57</v>
      </c>
      <c r="E20">
        <v>8.9039999999999999</v>
      </c>
      <c r="F20">
        <v>8.9039999999999999</v>
      </c>
      <c r="G20">
        <v>0</v>
      </c>
      <c r="H20">
        <v>0</v>
      </c>
      <c r="I20">
        <v>0</v>
      </c>
      <c r="J20">
        <v>0</v>
      </c>
    </row>
    <row r="21" spans="3:11" hidden="1" x14ac:dyDescent="0.2">
      <c r="C21" t="s">
        <v>35</v>
      </c>
    </row>
    <row r="22" spans="3:11" hidden="1" x14ac:dyDescent="0.2">
      <c r="C22" t="s">
        <v>43</v>
      </c>
      <c r="D22" t="s">
        <v>44</v>
      </c>
      <c r="E22" t="s">
        <v>45</v>
      </c>
      <c r="F22" t="s">
        <v>66</v>
      </c>
      <c r="G22" t="s">
        <v>63</v>
      </c>
      <c r="H22" t="s">
        <v>97</v>
      </c>
    </row>
    <row r="23" spans="3:11" hidden="1" x14ac:dyDescent="0.2">
      <c r="C23" t="s">
        <v>46</v>
      </c>
      <c r="D23" t="s">
        <v>44</v>
      </c>
      <c r="E23" t="s">
        <v>47</v>
      </c>
      <c r="F23" t="s">
        <v>48</v>
      </c>
      <c r="G23" t="s">
        <v>49</v>
      </c>
      <c r="H23" t="s">
        <v>50</v>
      </c>
      <c r="I23" t="s">
        <v>51</v>
      </c>
      <c r="J23" t="s">
        <v>52</v>
      </c>
      <c r="K23" t="s">
        <v>77</v>
      </c>
    </row>
    <row r="24" spans="3:11" hidden="1" x14ac:dyDescent="0.2">
      <c r="C24" t="s">
        <v>53</v>
      </c>
      <c r="D24" t="s">
        <v>0</v>
      </c>
      <c r="E24" t="s">
        <v>3</v>
      </c>
      <c r="F24" t="s">
        <v>4</v>
      </c>
      <c r="G24" t="s">
        <v>5</v>
      </c>
      <c r="H24" t="s">
        <v>54</v>
      </c>
      <c r="I24" t="s">
        <v>55</v>
      </c>
      <c r="J24" t="s">
        <v>56</v>
      </c>
    </row>
    <row r="25" spans="3:11" hidden="1" x14ac:dyDescent="0.2">
      <c r="D25">
        <v>400</v>
      </c>
      <c r="E25">
        <v>12.03</v>
      </c>
      <c r="F25">
        <v>12.03</v>
      </c>
      <c r="G25">
        <v>0</v>
      </c>
      <c r="H25">
        <v>0</v>
      </c>
      <c r="I25">
        <v>0</v>
      </c>
      <c r="J25">
        <v>0</v>
      </c>
    </row>
    <row r="26" spans="3:11" x14ac:dyDescent="0.2">
      <c r="D26" t="s">
        <v>57</v>
      </c>
      <c r="E26">
        <v>7.7930000000000001</v>
      </c>
      <c r="F26">
        <v>7.7930000000000001</v>
      </c>
      <c r="G26">
        <v>0</v>
      </c>
      <c r="H26">
        <v>0</v>
      </c>
      <c r="I26">
        <v>0</v>
      </c>
      <c r="J26">
        <v>0</v>
      </c>
    </row>
    <row r="27" spans="3:11" hidden="1" x14ac:dyDescent="0.2">
      <c r="C27" t="s">
        <v>35</v>
      </c>
    </row>
    <row r="28" spans="3:11" hidden="1" x14ac:dyDescent="0.2">
      <c r="C28" t="s">
        <v>43</v>
      </c>
      <c r="D28" t="s">
        <v>44</v>
      </c>
      <c r="E28" t="s">
        <v>45</v>
      </c>
      <c r="F28" t="s">
        <v>79</v>
      </c>
      <c r="G28" t="s">
        <v>63</v>
      </c>
      <c r="H28" t="s">
        <v>98</v>
      </c>
    </row>
    <row r="29" spans="3:11" hidden="1" x14ac:dyDescent="0.2">
      <c r="C29" t="s">
        <v>46</v>
      </c>
      <c r="D29" t="s">
        <v>44</v>
      </c>
      <c r="E29" t="s">
        <v>47</v>
      </c>
      <c r="F29" t="s">
        <v>48</v>
      </c>
      <c r="G29" t="s">
        <v>49</v>
      </c>
      <c r="H29" t="s">
        <v>50</v>
      </c>
      <c r="I29" t="s">
        <v>51</v>
      </c>
      <c r="J29" t="s">
        <v>52</v>
      </c>
      <c r="K29" t="s">
        <v>93</v>
      </c>
    </row>
    <row r="30" spans="3:11" hidden="1" x14ac:dyDescent="0.2">
      <c r="C30" t="s">
        <v>53</v>
      </c>
      <c r="D30" t="s">
        <v>0</v>
      </c>
      <c r="E30" t="s">
        <v>3</v>
      </c>
      <c r="F30" t="s">
        <v>4</v>
      </c>
      <c r="G30" t="s">
        <v>5</v>
      </c>
      <c r="H30" t="s">
        <v>54</v>
      </c>
      <c r="I30" t="s">
        <v>55</v>
      </c>
      <c r="J30" t="s">
        <v>56</v>
      </c>
    </row>
    <row r="31" spans="3:11" hidden="1" x14ac:dyDescent="0.2">
      <c r="D31">
        <v>450</v>
      </c>
      <c r="E31" s="14">
        <v>10.707000000000001</v>
      </c>
      <c r="F31" s="14">
        <v>10.707000000000001</v>
      </c>
      <c r="G31">
        <v>0</v>
      </c>
      <c r="H31">
        <v>0</v>
      </c>
      <c r="I31">
        <v>0</v>
      </c>
      <c r="J31">
        <v>0</v>
      </c>
    </row>
    <row r="32" spans="3:11" x14ac:dyDescent="0.2">
      <c r="D32" t="s">
        <v>57</v>
      </c>
      <c r="E32">
        <v>6.9290000000000003</v>
      </c>
      <c r="F32">
        <v>6.9290000000000003</v>
      </c>
      <c r="G32">
        <v>0</v>
      </c>
      <c r="H32">
        <v>0</v>
      </c>
      <c r="I32">
        <v>0</v>
      </c>
      <c r="J32">
        <v>0</v>
      </c>
    </row>
    <row r="33" spans="3:11" hidden="1" x14ac:dyDescent="0.2">
      <c r="C33" t="s">
        <v>35</v>
      </c>
    </row>
    <row r="34" spans="3:11" hidden="1" x14ac:dyDescent="0.2">
      <c r="C34" t="s">
        <v>43</v>
      </c>
      <c r="D34" t="s">
        <v>44</v>
      </c>
      <c r="E34" t="s">
        <v>45</v>
      </c>
      <c r="F34" t="s">
        <v>68</v>
      </c>
      <c r="G34" t="s">
        <v>67</v>
      </c>
      <c r="H34" t="s">
        <v>99</v>
      </c>
    </row>
    <row r="35" spans="3:11" hidden="1" x14ac:dyDescent="0.2">
      <c r="C35" t="s">
        <v>46</v>
      </c>
      <c r="D35" t="s">
        <v>44</v>
      </c>
      <c r="E35" t="s">
        <v>47</v>
      </c>
      <c r="F35" t="s">
        <v>48</v>
      </c>
      <c r="G35" t="s">
        <v>49</v>
      </c>
      <c r="H35" t="s">
        <v>50</v>
      </c>
      <c r="I35" t="s">
        <v>51</v>
      </c>
      <c r="J35" t="s">
        <v>52</v>
      </c>
      <c r="K35" t="s">
        <v>74</v>
      </c>
    </row>
    <row r="36" spans="3:11" hidden="1" x14ac:dyDescent="0.2">
      <c r="C36" t="s">
        <v>53</v>
      </c>
      <c r="D36" t="s">
        <v>0</v>
      </c>
      <c r="E36" t="s">
        <v>3</v>
      </c>
      <c r="F36" t="s">
        <v>4</v>
      </c>
      <c r="G36" t="s">
        <v>5</v>
      </c>
      <c r="H36" t="s">
        <v>54</v>
      </c>
      <c r="I36" t="s">
        <v>55</v>
      </c>
      <c r="J36" t="s">
        <v>56</v>
      </c>
    </row>
    <row r="37" spans="3:11" hidden="1" x14ac:dyDescent="0.2">
      <c r="D37">
        <v>500</v>
      </c>
      <c r="E37">
        <v>9.6479999999999997</v>
      </c>
      <c r="F37">
        <v>9.6479999999999997</v>
      </c>
      <c r="G37">
        <v>0</v>
      </c>
      <c r="H37">
        <v>0</v>
      </c>
      <c r="I37">
        <v>0</v>
      </c>
      <c r="J37">
        <v>0</v>
      </c>
    </row>
    <row r="38" spans="3:11" x14ac:dyDescent="0.2">
      <c r="D38" t="s">
        <v>57</v>
      </c>
      <c r="E38">
        <v>6.2389999999999999</v>
      </c>
      <c r="F38">
        <v>6.2389999999999999</v>
      </c>
      <c r="G38">
        <v>0</v>
      </c>
      <c r="H38">
        <v>0</v>
      </c>
      <c r="I38">
        <v>0</v>
      </c>
      <c r="J38">
        <v>0</v>
      </c>
    </row>
    <row r="39" spans="3:11" hidden="1" x14ac:dyDescent="0.2">
      <c r="C39" t="s">
        <v>35</v>
      </c>
    </row>
    <row r="40" spans="3:11" hidden="1" x14ac:dyDescent="0.2">
      <c r="C40" t="s">
        <v>43</v>
      </c>
      <c r="D40" t="s">
        <v>44</v>
      </c>
      <c r="E40" t="s">
        <v>45</v>
      </c>
      <c r="F40" t="s">
        <v>80</v>
      </c>
      <c r="G40" t="s">
        <v>67</v>
      </c>
      <c r="H40" t="s">
        <v>100</v>
      </c>
    </row>
    <row r="41" spans="3:11" hidden="1" x14ac:dyDescent="0.2">
      <c r="C41" t="s">
        <v>46</v>
      </c>
      <c r="D41" t="s">
        <v>44</v>
      </c>
      <c r="E41" t="s">
        <v>47</v>
      </c>
      <c r="F41" t="s">
        <v>48</v>
      </c>
      <c r="G41" t="s">
        <v>49</v>
      </c>
      <c r="H41" t="s">
        <v>50</v>
      </c>
      <c r="I41" t="s">
        <v>51</v>
      </c>
      <c r="J41" t="s">
        <v>52</v>
      </c>
      <c r="K41" t="s">
        <v>60</v>
      </c>
    </row>
    <row r="42" spans="3:11" hidden="1" x14ac:dyDescent="0.2">
      <c r="C42" t="s">
        <v>53</v>
      </c>
      <c r="D42" t="s">
        <v>0</v>
      </c>
      <c r="E42" t="s">
        <v>3</v>
      </c>
      <c r="F42" t="s">
        <v>4</v>
      </c>
      <c r="G42" t="s">
        <v>5</v>
      </c>
      <c r="H42" t="s">
        <v>54</v>
      </c>
      <c r="I42" t="s">
        <v>55</v>
      </c>
      <c r="J42" t="s">
        <v>56</v>
      </c>
    </row>
    <row r="43" spans="3:11" hidden="1" x14ac:dyDescent="0.2">
      <c r="D43">
        <v>550</v>
      </c>
      <c r="E43">
        <v>8.7810000000000006</v>
      </c>
      <c r="F43">
        <v>8.7810000000000006</v>
      </c>
      <c r="G43">
        <v>0</v>
      </c>
      <c r="H43">
        <v>0</v>
      </c>
      <c r="I43">
        <v>0</v>
      </c>
      <c r="J43">
        <v>0</v>
      </c>
    </row>
    <row r="44" spans="3:11" x14ac:dyDescent="0.2">
      <c r="D44" t="s">
        <v>57</v>
      </c>
      <c r="E44">
        <v>5.6740000000000004</v>
      </c>
      <c r="F44">
        <v>5.6740000000000004</v>
      </c>
      <c r="G44">
        <v>0</v>
      </c>
      <c r="H44">
        <v>0</v>
      </c>
      <c r="I44">
        <v>0</v>
      </c>
      <c r="J44">
        <v>0</v>
      </c>
    </row>
    <row r="45" spans="3:11" hidden="1" x14ac:dyDescent="0.2">
      <c r="C45" t="s">
        <v>35</v>
      </c>
    </row>
    <row r="46" spans="3:11" hidden="1" x14ac:dyDescent="0.2">
      <c r="C46" t="s">
        <v>43</v>
      </c>
      <c r="D46" t="s">
        <v>44</v>
      </c>
      <c r="E46" t="s">
        <v>45</v>
      </c>
      <c r="F46" t="s">
        <v>85</v>
      </c>
      <c r="G46" t="s">
        <v>71</v>
      </c>
      <c r="H46" t="s">
        <v>101</v>
      </c>
    </row>
    <row r="47" spans="3:11" hidden="1" x14ac:dyDescent="0.2">
      <c r="C47" t="s">
        <v>46</v>
      </c>
      <c r="D47" t="s">
        <v>44</v>
      </c>
      <c r="E47" t="s">
        <v>47</v>
      </c>
      <c r="F47" t="s">
        <v>48</v>
      </c>
      <c r="G47" t="s">
        <v>49</v>
      </c>
      <c r="H47" t="s">
        <v>50</v>
      </c>
      <c r="I47" t="s">
        <v>51</v>
      </c>
      <c r="J47" t="s">
        <v>52</v>
      </c>
      <c r="K47" t="s">
        <v>83</v>
      </c>
    </row>
    <row r="48" spans="3:11" hidden="1" x14ac:dyDescent="0.2">
      <c r="C48" t="s">
        <v>53</v>
      </c>
      <c r="D48" t="s">
        <v>0</v>
      </c>
      <c r="E48" t="s">
        <v>3</v>
      </c>
      <c r="F48" t="s">
        <v>4</v>
      </c>
      <c r="G48" t="s">
        <v>5</v>
      </c>
      <c r="H48" t="s">
        <v>54</v>
      </c>
      <c r="I48" t="s">
        <v>55</v>
      </c>
      <c r="J48" t="s">
        <v>56</v>
      </c>
    </row>
    <row r="49" spans="3:11" hidden="1" x14ac:dyDescent="0.2">
      <c r="D49">
        <v>600</v>
      </c>
      <c r="E49">
        <v>8.0579999999999998</v>
      </c>
      <c r="F49">
        <v>8.0579999999999998</v>
      </c>
      <c r="G49">
        <v>0</v>
      </c>
      <c r="H49">
        <v>0</v>
      </c>
      <c r="I49">
        <v>0</v>
      </c>
      <c r="J49">
        <v>0</v>
      </c>
    </row>
    <row r="50" spans="3:11" x14ac:dyDescent="0.2">
      <c r="D50" t="s">
        <v>57</v>
      </c>
      <c r="E50">
        <v>5.2039999999999997</v>
      </c>
      <c r="F50">
        <v>5.2039999999999997</v>
      </c>
      <c r="G50">
        <v>0</v>
      </c>
      <c r="H50">
        <v>0</v>
      </c>
      <c r="I50">
        <v>0</v>
      </c>
      <c r="J50">
        <v>0</v>
      </c>
    </row>
    <row r="51" spans="3:11" hidden="1" x14ac:dyDescent="0.2">
      <c r="C51" t="s">
        <v>35</v>
      </c>
    </row>
    <row r="52" spans="3:11" hidden="1" x14ac:dyDescent="0.2">
      <c r="C52" t="s">
        <v>43</v>
      </c>
      <c r="D52" t="s">
        <v>44</v>
      </c>
      <c r="E52" t="s">
        <v>45</v>
      </c>
      <c r="F52" t="s">
        <v>69</v>
      </c>
      <c r="G52" t="s">
        <v>67</v>
      </c>
      <c r="H52" t="s">
        <v>102</v>
      </c>
    </row>
    <row r="53" spans="3:11" hidden="1" x14ac:dyDescent="0.2">
      <c r="C53" t="s">
        <v>46</v>
      </c>
      <c r="D53" t="s">
        <v>44</v>
      </c>
      <c r="E53" t="s">
        <v>47</v>
      </c>
      <c r="F53" t="s">
        <v>48</v>
      </c>
      <c r="G53" t="s">
        <v>49</v>
      </c>
      <c r="H53" t="s">
        <v>50</v>
      </c>
      <c r="I53" t="s">
        <v>51</v>
      </c>
      <c r="J53" t="s">
        <v>52</v>
      </c>
      <c r="K53" t="s">
        <v>83</v>
      </c>
    </row>
    <row r="54" spans="3:11" hidden="1" x14ac:dyDescent="0.2">
      <c r="C54" t="s">
        <v>53</v>
      </c>
      <c r="D54" t="s">
        <v>0</v>
      </c>
      <c r="E54" t="s">
        <v>3</v>
      </c>
      <c r="F54" t="s">
        <v>4</v>
      </c>
      <c r="G54" t="s">
        <v>5</v>
      </c>
      <c r="H54" t="s">
        <v>54</v>
      </c>
      <c r="I54" t="s">
        <v>55</v>
      </c>
      <c r="J54" t="s">
        <v>56</v>
      </c>
    </row>
    <row r="55" spans="3:11" hidden="1" x14ac:dyDescent="0.2">
      <c r="D55">
        <v>650</v>
      </c>
      <c r="E55">
        <v>7.4450000000000003</v>
      </c>
      <c r="F55">
        <v>7.4450000000000003</v>
      </c>
      <c r="G55">
        <v>0</v>
      </c>
      <c r="H55">
        <v>0</v>
      </c>
      <c r="I55">
        <v>0</v>
      </c>
      <c r="J55">
        <v>0</v>
      </c>
    </row>
    <row r="56" spans="3:11" x14ac:dyDescent="0.2">
      <c r="D56" t="s">
        <v>57</v>
      </c>
      <c r="E56">
        <v>4.8049999999999997</v>
      </c>
      <c r="F56">
        <v>4.8049999999999997</v>
      </c>
      <c r="G56">
        <v>0</v>
      </c>
      <c r="H56">
        <v>0</v>
      </c>
      <c r="I56">
        <v>0</v>
      </c>
      <c r="J56">
        <v>0</v>
      </c>
    </row>
    <row r="57" spans="3:11" hidden="1" x14ac:dyDescent="0.2">
      <c r="C57" t="s">
        <v>35</v>
      </c>
    </row>
    <row r="58" spans="3:11" hidden="1" x14ac:dyDescent="0.2">
      <c r="C58" t="s">
        <v>43</v>
      </c>
      <c r="D58" t="s">
        <v>44</v>
      </c>
      <c r="E58" t="s">
        <v>45</v>
      </c>
      <c r="F58" t="s">
        <v>81</v>
      </c>
      <c r="G58" t="s">
        <v>63</v>
      </c>
      <c r="H58" t="s">
        <v>103</v>
      </c>
    </row>
    <row r="59" spans="3:11" hidden="1" x14ac:dyDescent="0.2">
      <c r="C59" t="s">
        <v>46</v>
      </c>
      <c r="D59" t="s">
        <v>44</v>
      </c>
      <c r="E59" t="s">
        <v>47</v>
      </c>
      <c r="F59" t="s">
        <v>48</v>
      </c>
      <c r="G59" t="s">
        <v>49</v>
      </c>
      <c r="H59" t="s">
        <v>50</v>
      </c>
      <c r="I59" t="s">
        <v>51</v>
      </c>
      <c r="J59" t="s">
        <v>52</v>
      </c>
      <c r="K59" t="s">
        <v>78</v>
      </c>
    </row>
    <row r="60" spans="3:11" hidden="1" x14ac:dyDescent="0.2">
      <c r="C60" t="s">
        <v>53</v>
      </c>
      <c r="D60" t="s">
        <v>0</v>
      </c>
      <c r="E60" t="s">
        <v>3</v>
      </c>
      <c r="F60" t="s">
        <v>4</v>
      </c>
      <c r="G60" t="s">
        <v>5</v>
      </c>
      <c r="H60" t="s">
        <v>54</v>
      </c>
      <c r="I60" t="s">
        <v>55</v>
      </c>
      <c r="J60" t="s">
        <v>56</v>
      </c>
    </row>
    <row r="61" spans="3:11" hidden="1" x14ac:dyDescent="0.2">
      <c r="D61">
        <v>700</v>
      </c>
      <c r="E61">
        <v>6.9189999999999996</v>
      </c>
      <c r="F61">
        <v>6.9189999999999996</v>
      </c>
      <c r="G61">
        <v>0</v>
      </c>
      <c r="H61">
        <v>0</v>
      </c>
      <c r="I61">
        <v>0</v>
      </c>
      <c r="J61">
        <v>0</v>
      </c>
    </row>
    <row r="62" spans="3:11" x14ac:dyDescent="0.2">
      <c r="D62" t="s">
        <v>57</v>
      </c>
      <c r="E62">
        <v>4.4640000000000004</v>
      </c>
      <c r="F62">
        <v>4.4640000000000004</v>
      </c>
      <c r="G62">
        <v>0</v>
      </c>
      <c r="H62">
        <v>0</v>
      </c>
      <c r="I62">
        <v>0</v>
      </c>
      <c r="J62">
        <v>0</v>
      </c>
    </row>
    <row r="63" spans="3:11" hidden="1" x14ac:dyDescent="0.2">
      <c r="C63" t="s">
        <v>35</v>
      </c>
    </row>
    <row r="64" spans="3:11" hidden="1" x14ac:dyDescent="0.2">
      <c r="C64" t="s">
        <v>43</v>
      </c>
      <c r="D64" t="s">
        <v>44</v>
      </c>
      <c r="E64" t="s">
        <v>45</v>
      </c>
      <c r="F64" t="s">
        <v>70</v>
      </c>
      <c r="G64" t="s">
        <v>67</v>
      </c>
      <c r="H64" t="s">
        <v>104</v>
      </c>
    </row>
    <row r="65" spans="3:11" hidden="1" x14ac:dyDescent="0.2">
      <c r="C65" t="s">
        <v>46</v>
      </c>
      <c r="D65" t="s">
        <v>44</v>
      </c>
      <c r="E65" t="s">
        <v>47</v>
      </c>
      <c r="F65" t="s">
        <v>48</v>
      </c>
      <c r="G65" t="s">
        <v>49</v>
      </c>
      <c r="H65" t="s">
        <v>50</v>
      </c>
      <c r="I65" t="s">
        <v>51</v>
      </c>
      <c r="J65" t="s">
        <v>52</v>
      </c>
      <c r="K65" t="s">
        <v>89</v>
      </c>
    </row>
    <row r="66" spans="3:11" hidden="1" x14ac:dyDescent="0.2">
      <c r="C66" t="s">
        <v>53</v>
      </c>
      <c r="D66" t="s">
        <v>0</v>
      </c>
      <c r="E66" t="s">
        <v>3</v>
      </c>
      <c r="F66" t="s">
        <v>4</v>
      </c>
      <c r="G66" t="s">
        <v>5</v>
      </c>
      <c r="H66" t="s">
        <v>54</v>
      </c>
      <c r="I66" t="s">
        <v>55</v>
      </c>
      <c r="J66" t="s">
        <v>56</v>
      </c>
    </row>
    <row r="67" spans="3:11" hidden="1" x14ac:dyDescent="0.2">
      <c r="D67">
        <v>750</v>
      </c>
      <c r="E67">
        <v>6.4630000000000001</v>
      </c>
      <c r="F67">
        <v>6.4630000000000001</v>
      </c>
      <c r="G67">
        <v>0</v>
      </c>
      <c r="H67">
        <v>0</v>
      </c>
      <c r="I67">
        <v>0</v>
      </c>
      <c r="J67">
        <v>0</v>
      </c>
    </row>
    <row r="68" spans="3:11" x14ac:dyDescent="0.2">
      <c r="D68" t="s">
        <v>57</v>
      </c>
      <c r="E68">
        <v>4.1680000000000001</v>
      </c>
      <c r="F68">
        <v>4.1680000000000001</v>
      </c>
      <c r="G68">
        <v>0</v>
      </c>
      <c r="H68">
        <v>0</v>
      </c>
      <c r="I68">
        <v>0</v>
      </c>
      <c r="J68">
        <v>0</v>
      </c>
    </row>
    <row r="69" spans="3:11" hidden="1" x14ac:dyDescent="0.2">
      <c r="C69" t="s">
        <v>35</v>
      </c>
    </row>
    <row r="70" spans="3:11" hidden="1" x14ac:dyDescent="0.2">
      <c r="C70" t="s">
        <v>43</v>
      </c>
      <c r="D70" t="s">
        <v>44</v>
      </c>
      <c r="E70" t="s">
        <v>45</v>
      </c>
      <c r="F70" t="s">
        <v>82</v>
      </c>
      <c r="G70" t="s">
        <v>63</v>
      </c>
      <c r="H70" t="s">
        <v>105</v>
      </c>
    </row>
    <row r="71" spans="3:11" hidden="1" x14ac:dyDescent="0.2">
      <c r="C71" t="s">
        <v>46</v>
      </c>
      <c r="D71" t="s">
        <v>44</v>
      </c>
      <c r="E71" t="s">
        <v>47</v>
      </c>
      <c r="F71" t="s">
        <v>48</v>
      </c>
      <c r="G71" t="s">
        <v>49</v>
      </c>
      <c r="H71" t="s">
        <v>50</v>
      </c>
      <c r="I71" t="s">
        <v>51</v>
      </c>
      <c r="J71" t="s">
        <v>52</v>
      </c>
      <c r="K71" t="s">
        <v>58</v>
      </c>
    </row>
    <row r="72" spans="3:11" hidden="1" x14ac:dyDescent="0.2">
      <c r="C72" t="s">
        <v>53</v>
      </c>
      <c r="D72" t="s">
        <v>0</v>
      </c>
      <c r="E72" t="s">
        <v>3</v>
      </c>
      <c r="F72" t="s">
        <v>4</v>
      </c>
      <c r="G72" t="s">
        <v>5</v>
      </c>
      <c r="H72" t="s">
        <v>54</v>
      </c>
      <c r="I72" t="s">
        <v>55</v>
      </c>
      <c r="J72" t="s">
        <v>56</v>
      </c>
    </row>
    <row r="73" spans="3:11" hidden="1" x14ac:dyDescent="0.2">
      <c r="D73">
        <v>800</v>
      </c>
      <c r="E73">
        <v>6.0629999999999997</v>
      </c>
      <c r="F73">
        <v>6.0629999999999997</v>
      </c>
      <c r="G73">
        <v>0</v>
      </c>
      <c r="H73">
        <v>0</v>
      </c>
      <c r="I73">
        <v>0</v>
      </c>
      <c r="J73">
        <v>0</v>
      </c>
    </row>
    <row r="74" spans="3:11" x14ac:dyDescent="0.2">
      <c r="D74" t="s">
        <v>57</v>
      </c>
      <c r="E74">
        <v>3.9089999999999998</v>
      </c>
      <c r="F74">
        <v>3.9089999999999998</v>
      </c>
      <c r="G74">
        <v>0</v>
      </c>
      <c r="H74">
        <v>0</v>
      </c>
      <c r="I74">
        <v>0</v>
      </c>
      <c r="J74">
        <v>0</v>
      </c>
    </row>
    <row r="75" spans="3:11" hidden="1" x14ac:dyDescent="0.2">
      <c r="C75" t="s">
        <v>35</v>
      </c>
    </row>
    <row r="76" spans="3:11" hidden="1" x14ac:dyDescent="0.2">
      <c r="C76" t="s">
        <v>43</v>
      </c>
      <c r="D76" t="s">
        <v>44</v>
      </c>
      <c r="E76" t="s">
        <v>45</v>
      </c>
      <c r="F76" t="s">
        <v>86</v>
      </c>
      <c r="G76" t="s">
        <v>71</v>
      </c>
      <c r="H76" t="s">
        <v>106</v>
      </c>
    </row>
    <row r="77" spans="3:11" hidden="1" x14ac:dyDescent="0.2">
      <c r="C77" t="s">
        <v>46</v>
      </c>
      <c r="D77" t="s">
        <v>44</v>
      </c>
      <c r="E77" t="s">
        <v>47</v>
      </c>
      <c r="F77" t="s">
        <v>48</v>
      </c>
      <c r="G77" t="s">
        <v>49</v>
      </c>
      <c r="H77" t="s">
        <v>50</v>
      </c>
      <c r="I77" t="s">
        <v>51</v>
      </c>
      <c r="J77" t="s">
        <v>52</v>
      </c>
      <c r="K77" t="s">
        <v>78</v>
      </c>
    </row>
    <row r="78" spans="3:11" hidden="1" x14ac:dyDescent="0.2">
      <c r="C78" t="s">
        <v>53</v>
      </c>
      <c r="D78" t="s">
        <v>0</v>
      </c>
      <c r="E78" t="s">
        <v>3</v>
      </c>
      <c r="F78" t="s">
        <v>4</v>
      </c>
      <c r="G78" t="s">
        <v>5</v>
      </c>
      <c r="H78" t="s">
        <v>54</v>
      </c>
      <c r="I78" t="s">
        <v>55</v>
      </c>
      <c r="J78" t="s">
        <v>56</v>
      </c>
    </row>
    <row r="79" spans="3:11" hidden="1" x14ac:dyDescent="0.2">
      <c r="D79">
        <v>850</v>
      </c>
      <c r="E79">
        <v>5.71</v>
      </c>
      <c r="F79">
        <v>5.71</v>
      </c>
      <c r="G79">
        <v>0</v>
      </c>
      <c r="H79">
        <v>0</v>
      </c>
      <c r="I79">
        <v>0</v>
      </c>
      <c r="J79">
        <v>0</v>
      </c>
    </row>
    <row r="80" spans="3:11" x14ac:dyDescent="0.2">
      <c r="D80" t="s">
        <v>57</v>
      </c>
      <c r="E80">
        <v>3.68</v>
      </c>
      <c r="F80">
        <v>3.68</v>
      </c>
      <c r="G80">
        <v>0</v>
      </c>
      <c r="H80">
        <v>0</v>
      </c>
      <c r="I80">
        <v>0</v>
      </c>
      <c r="J80">
        <v>0</v>
      </c>
    </row>
    <row r="81" spans="3:11" hidden="1" x14ac:dyDescent="0.2">
      <c r="C81" t="s">
        <v>35</v>
      </c>
    </row>
    <row r="82" spans="3:11" hidden="1" x14ac:dyDescent="0.2">
      <c r="C82" t="s">
        <v>43</v>
      </c>
      <c r="D82" t="s">
        <v>44</v>
      </c>
      <c r="E82" t="s">
        <v>45</v>
      </c>
      <c r="F82" t="s">
        <v>92</v>
      </c>
      <c r="G82" t="s">
        <v>67</v>
      </c>
      <c r="H82" t="s">
        <v>107</v>
      </c>
    </row>
    <row r="83" spans="3:11" hidden="1" x14ac:dyDescent="0.2">
      <c r="C83" t="s">
        <v>46</v>
      </c>
      <c r="D83" t="s">
        <v>44</v>
      </c>
      <c r="E83" t="s">
        <v>47</v>
      </c>
      <c r="F83" t="s">
        <v>48</v>
      </c>
      <c r="G83" t="s">
        <v>49</v>
      </c>
      <c r="H83" t="s">
        <v>50</v>
      </c>
      <c r="I83" t="s">
        <v>51</v>
      </c>
      <c r="J83" t="s">
        <v>52</v>
      </c>
      <c r="K83" t="s">
        <v>76</v>
      </c>
    </row>
    <row r="84" spans="3:11" hidden="1" x14ac:dyDescent="0.2">
      <c r="C84" t="s">
        <v>53</v>
      </c>
      <c r="D84" t="s">
        <v>0</v>
      </c>
      <c r="E84" t="s">
        <v>3</v>
      </c>
      <c r="F84" t="s">
        <v>4</v>
      </c>
      <c r="G84" t="s">
        <v>5</v>
      </c>
      <c r="H84" t="s">
        <v>54</v>
      </c>
      <c r="I84" t="s">
        <v>55</v>
      </c>
      <c r="J84" t="s">
        <v>56</v>
      </c>
    </row>
    <row r="85" spans="3:11" hidden="1" x14ac:dyDescent="0.2">
      <c r="D85">
        <v>900</v>
      </c>
      <c r="E85">
        <v>5.3959999999999999</v>
      </c>
      <c r="F85">
        <v>5.3959999999999999</v>
      </c>
      <c r="G85">
        <v>0</v>
      </c>
      <c r="H85">
        <v>0</v>
      </c>
      <c r="I85">
        <v>0</v>
      </c>
      <c r="J85">
        <v>0</v>
      </c>
    </row>
    <row r="86" spans="3:11" x14ac:dyDescent="0.2">
      <c r="D86" t="s">
        <v>57</v>
      </c>
      <c r="E86">
        <v>3.476</v>
      </c>
      <c r="F86">
        <v>3.476</v>
      </c>
      <c r="G86">
        <v>0</v>
      </c>
      <c r="H86">
        <v>0</v>
      </c>
      <c r="I86">
        <v>0</v>
      </c>
      <c r="J86">
        <v>0</v>
      </c>
    </row>
    <row r="87" spans="3:11" hidden="1" x14ac:dyDescent="0.2">
      <c r="C87" t="s">
        <v>35</v>
      </c>
    </row>
    <row r="88" spans="3:11" hidden="1" x14ac:dyDescent="0.2">
      <c r="C88" t="s">
        <v>43</v>
      </c>
      <c r="D88" t="s">
        <v>44</v>
      </c>
      <c r="E88" t="s">
        <v>45</v>
      </c>
      <c r="F88" t="s">
        <v>88</v>
      </c>
      <c r="G88" t="s">
        <v>71</v>
      </c>
      <c r="H88" t="s">
        <v>108</v>
      </c>
    </row>
    <row r="89" spans="3:11" hidden="1" x14ac:dyDescent="0.2">
      <c r="C89" t="s">
        <v>46</v>
      </c>
      <c r="D89" t="s">
        <v>44</v>
      </c>
      <c r="E89" t="s">
        <v>47</v>
      </c>
      <c r="F89" t="s">
        <v>48</v>
      </c>
      <c r="G89" t="s">
        <v>49</v>
      </c>
      <c r="H89" t="s">
        <v>50</v>
      </c>
      <c r="I89" t="s">
        <v>51</v>
      </c>
      <c r="J89" t="s">
        <v>52</v>
      </c>
      <c r="K89" t="s">
        <v>87</v>
      </c>
    </row>
    <row r="90" spans="3:11" hidden="1" x14ac:dyDescent="0.2">
      <c r="C90" t="s">
        <v>53</v>
      </c>
      <c r="D90" t="s">
        <v>0</v>
      </c>
      <c r="E90" t="s">
        <v>3</v>
      </c>
      <c r="F90" t="s">
        <v>4</v>
      </c>
      <c r="G90" t="s">
        <v>5</v>
      </c>
      <c r="H90" t="s">
        <v>54</v>
      </c>
      <c r="I90" t="s">
        <v>55</v>
      </c>
      <c r="J90" t="s">
        <v>56</v>
      </c>
    </row>
    <row r="91" spans="3:11" hidden="1" x14ac:dyDescent="0.2">
      <c r="D91">
        <v>950</v>
      </c>
      <c r="E91">
        <v>5.1150000000000002</v>
      </c>
      <c r="F91">
        <v>5.1150000000000002</v>
      </c>
      <c r="G91">
        <v>0</v>
      </c>
      <c r="H91">
        <v>0</v>
      </c>
      <c r="I91">
        <v>0</v>
      </c>
      <c r="J91">
        <v>0</v>
      </c>
    </row>
    <row r="92" spans="3:11" x14ac:dyDescent="0.2">
      <c r="D92" t="s">
        <v>57</v>
      </c>
      <c r="E92">
        <v>3.294</v>
      </c>
      <c r="F92">
        <v>3.294</v>
      </c>
      <c r="G92">
        <v>0</v>
      </c>
      <c r="H92">
        <v>0</v>
      </c>
      <c r="I92">
        <v>0</v>
      </c>
      <c r="J92">
        <v>0</v>
      </c>
    </row>
    <row r="93" spans="3:11" hidden="1" x14ac:dyDescent="0.2">
      <c r="C93" t="s">
        <v>35</v>
      </c>
    </row>
    <row r="94" spans="3:11" hidden="1" x14ac:dyDescent="0.2">
      <c r="C94" t="s">
        <v>43</v>
      </c>
      <c r="D94" t="s">
        <v>44</v>
      </c>
      <c r="E94" t="s">
        <v>45</v>
      </c>
      <c r="F94" t="s">
        <v>72</v>
      </c>
      <c r="G94" t="s">
        <v>63</v>
      </c>
      <c r="H94" t="s">
        <v>109</v>
      </c>
    </row>
    <row r="95" spans="3:11" hidden="1" x14ac:dyDescent="0.2">
      <c r="C95" t="s">
        <v>46</v>
      </c>
      <c r="D95" t="s">
        <v>44</v>
      </c>
      <c r="E95" t="s">
        <v>47</v>
      </c>
      <c r="F95" t="s">
        <v>48</v>
      </c>
      <c r="G95" t="s">
        <v>49</v>
      </c>
      <c r="H95" t="s">
        <v>50</v>
      </c>
      <c r="I95" t="s">
        <v>51</v>
      </c>
      <c r="J95" t="s">
        <v>52</v>
      </c>
      <c r="K95" t="s">
        <v>59</v>
      </c>
    </row>
    <row r="96" spans="3:11" hidden="1" x14ac:dyDescent="0.2">
      <c r="C96" t="s">
        <v>53</v>
      </c>
      <c r="D96" t="s">
        <v>0</v>
      </c>
      <c r="E96" t="s">
        <v>3</v>
      </c>
      <c r="F96" t="s">
        <v>4</v>
      </c>
      <c r="G96" t="s">
        <v>5</v>
      </c>
      <c r="H96" t="s">
        <v>54</v>
      </c>
      <c r="I96" t="s">
        <v>55</v>
      </c>
      <c r="J96" t="s">
        <v>56</v>
      </c>
    </row>
    <row r="97" spans="3:10" hidden="1" x14ac:dyDescent="0.2">
      <c r="D97">
        <v>1000</v>
      </c>
      <c r="E97">
        <v>4.8609999999999998</v>
      </c>
      <c r="F97">
        <v>4.8609999999999998</v>
      </c>
      <c r="G97">
        <v>0</v>
      </c>
      <c r="H97">
        <v>0</v>
      </c>
      <c r="I97">
        <v>0</v>
      </c>
      <c r="J97">
        <v>0</v>
      </c>
    </row>
    <row r="98" spans="3:10" x14ac:dyDescent="0.2">
      <c r="D98" t="s">
        <v>57</v>
      </c>
      <c r="E98">
        <v>3.13</v>
      </c>
      <c r="F98">
        <v>3.13</v>
      </c>
      <c r="G98">
        <v>0</v>
      </c>
      <c r="H98">
        <v>0</v>
      </c>
      <c r="I98">
        <v>0</v>
      </c>
      <c r="J98">
        <v>0</v>
      </c>
    </row>
    <row r="99" spans="3:10" hidden="1" x14ac:dyDescent="0.2">
      <c r="C99" t="s">
        <v>35</v>
      </c>
    </row>
  </sheetData>
  <autoFilter ref="C3:K99" xr:uid="{0D1C75B6-BA30-D049-8964-694DC25BEF30}">
    <filterColumn colId="1">
      <filters>
        <filter val="(RTA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D014-67C3-1948-A4BB-ABAE5491DE24}">
  <dimension ref="C3:AE591"/>
  <sheetViews>
    <sheetView workbookViewId="0">
      <selection activeCell="AE4" sqref="AE4"/>
    </sheetView>
  </sheetViews>
  <sheetFormatPr baseColWidth="10" defaultRowHeight="16" x14ac:dyDescent="0.2"/>
  <sheetData>
    <row r="3" spans="3:31" x14ac:dyDescent="0.2">
      <c r="AC3" t="s">
        <v>31</v>
      </c>
    </row>
    <row r="4" spans="3:31" x14ac:dyDescent="0.2">
      <c r="C4">
        <v>0</v>
      </c>
      <c r="D4">
        <v>0</v>
      </c>
      <c r="I4">
        <v>0</v>
      </c>
      <c r="J4">
        <v>0</v>
      </c>
      <c r="Q4">
        <v>0</v>
      </c>
      <c r="R4">
        <v>0</v>
      </c>
      <c r="V4">
        <v>0</v>
      </c>
      <c r="W4">
        <v>0</v>
      </c>
      <c r="AC4">
        <f>AVERAGE(AE4:AE591)</f>
        <v>0.32815754638401368</v>
      </c>
      <c r="AE4">
        <v>-29.324071485099999</v>
      </c>
    </row>
    <row r="5" spans="3:31" x14ac:dyDescent="0.2">
      <c r="C5">
        <v>10</v>
      </c>
      <c r="D5">
        <v>-1.72705828E-7</v>
      </c>
      <c r="I5">
        <v>10</v>
      </c>
      <c r="J5">
        <v>-8.9074597E-7</v>
      </c>
      <c r="Q5">
        <v>10</v>
      </c>
      <c r="R5">
        <v>-6.5912754600000004E-7</v>
      </c>
      <c r="V5">
        <v>10</v>
      </c>
      <c r="W5">
        <v>-0.33266732530288801</v>
      </c>
      <c r="AE5">
        <v>-0.1071393789</v>
      </c>
    </row>
    <row r="6" spans="3:31" x14ac:dyDescent="0.2">
      <c r="C6">
        <v>20</v>
      </c>
      <c r="D6">
        <v>-3.0874500299999999E-7</v>
      </c>
      <c r="I6">
        <v>20</v>
      </c>
      <c r="J6">
        <v>-8.2034122799999995E-7</v>
      </c>
      <c r="Q6">
        <v>20</v>
      </c>
      <c r="R6">
        <v>-7.7238818700000004E-7</v>
      </c>
      <c r="V6">
        <v>20</v>
      </c>
      <c r="W6">
        <v>-0.19414243154835401</v>
      </c>
      <c r="AC6">
        <f>STDEV(AE5:AE591)</f>
        <v>0.26477717240373438</v>
      </c>
      <c r="AE6">
        <v>0.73603386579999996</v>
      </c>
    </row>
    <row r="7" spans="3:31" x14ac:dyDescent="0.2">
      <c r="C7">
        <v>30</v>
      </c>
      <c r="D7">
        <v>-1.29851937E-7</v>
      </c>
      <c r="I7">
        <v>30</v>
      </c>
      <c r="J7">
        <v>2.9979742700000001E-7</v>
      </c>
      <c r="Q7">
        <v>30</v>
      </c>
      <c r="R7">
        <v>-6.7033992999999996E-7</v>
      </c>
      <c r="V7">
        <v>30</v>
      </c>
      <c r="W7">
        <v>-4.3247086421277003E-2</v>
      </c>
      <c r="AE7">
        <v>0.73436445400000006</v>
      </c>
    </row>
    <row r="8" spans="3:31" x14ac:dyDescent="0.2">
      <c r="C8">
        <v>40</v>
      </c>
      <c r="D8">
        <v>3.26548942E-7</v>
      </c>
      <c r="I8">
        <v>40</v>
      </c>
      <c r="J8">
        <v>2.6912883959999998E-6</v>
      </c>
      <c r="Q8">
        <v>40</v>
      </c>
      <c r="R8">
        <v>-4.43967366E-7</v>
      </c>
      <c r="V8">
        <v>40</v>
      </c>
      <c r="W8">
        <v>6.9233533852258E-2</v>
      </c>
      <c r="AE8">
        <v>0.73202614249999998</v>
      </c>
    </row>
    <row r="9" spans="3:31" x14ac:dyDescent="0.2">
      <c r="C9">
        <v>50</v>
      </c>
      <c r="D9">
        <v>1.137873247E-6</v>
      </c>
      <c r="I9">
        <v>50</v>
      </c>
      <c r="J9">
        <v>6.1581323169999998E-6</v>
      </c>
      <c r="Q9">
        <v>50</v>
      </c>
      <c r="R9">
        <v>-9.8542130000000005E-8</v>
      </c>
      <c r="V9">
        <v>50</v>
      </c>
      <c r="W9">
        <v>0.17002275208595</v>
      </c>
      <c r="AE9">
        <v>0.72901898980000002</v>
      </c>
    </row>
    <row r="10" spans="3:31" x14ac:dyDescent="0.2">
      <c r="C10">
        <v>60</v>
      </c>
      <c r="D10">
        <v>2.1519582829999999E-6</v>
      </c>
      <c r="I10">
        <v>60</v>
      </c>
      <c r="J10">
        <v>9.9658306659999996E-6</v>
      </c>
      <c r="Q10">
        <v>60</v>
      </c>
      <c r="R10">
        <v>3.6572683000000002E-7</v>
      </c>
      <c r="V10">
        <v>60</v>
      </c>
      <c r="W10">
        <v>0.24663536792683599</v>
      </c>
      <c r="AE10">
        <v>0.72534461610000001</v>
      </c>
    </row>
    <row r="11" spans="3:31" x14ac:dyDescent="0.2">
      <c r="C11">
        <v>70</v>
      </c>
      <c r="D11">
        <v>3.239390464E-6</v>
      </c>
      <c r="I11">
        <v>70</v>
      </c>
      <c r="J11">
        <v>1.3423288044E-5</v>
      </c>
      <c r="Q11">
        <v>70</v>
      </c>
      <c r="R11">
        <v>9.2780179599999999E-7</v>
      </c>
      <c r="V11">
        <v>70</v>
      </c>
      <c r="W11">
        <v>0.30467305451557403</v>
      </c>
      <c r="AE11">
        <v>0.72100710300000004</v>
      </c>
    </row>
    <row r="12" spans="3:31" x14ac:dyDescent="0.2">
      <c r="C12">
        <v>80</v>
      </c>
      <c r="D12">
        <v>4.1732158659999999E-6</v>
      </c>
      <c r="I12">
        <v>80</v>
      </c>
      <c r="J12">
        <v>1.6156435799000002E-5</v>
      </c>
      <c r="Q12">
        <v>80</v>
      </c>
      <c r="R12">
        <v>1.556464852E-6</v>
      </c>
      <c r="V12">
        <v>80</v>
      </c>
      <c r="W12">
        <v>0.33866785282160999</v>
      </c>
      <c r="AE12">
        <v>0.71601384700000004</v>
      </c>
    </row>
    <row r="13" spans="3:31" x14ac:dyDescent="0.2">
      <c r="C13">
        <v>90</v>
      </c>
      <c r="D13">
        <v>5.1983896200000001E-6</v>
      </c>
      <c r="I13">
        <v>90</v>
      </c>
      <c r="J13">
        <v>1.8067775951999999E-5</v>
      </c>
      <c r="Q13">
        <v>90</v>
      </c>
      <c r="R13">
        <v>2.2174341939999999E-6</v>
      </c>
      <c r="V13">
        <v>90</v>
      </c>
      <c r="W13">
        <v>0.37746060360272499</v>
      </c>
      <c r="AE13">
        <v>0.71037626870000004</v>
      </c>
    </row>
    <row r="14" spans="3:31" x14ac:dyDescent="0.2">
      <c r="C14">
        <v>100</v>
      </c>
      <c r="D14">
        <v>6.4704491100000004E-6</v>
      </c>
      <c r="I14">
        <v>100</v>
      </c>
      <c r="J14">
        <v>1.9225745970000001E-5</v>
      </c>
      <c r="Q14">
        <v>100</v>
      </c>
      <c r="R14">
        <v>2.8767706550000001E-6</v>
      </c>
      <c r="V14">
        <v>100</v>
      </c>
      <c r="W14">
        <v>0.43147198723404201</v>
      </c>
      <c r="AE14">
        <v>0.7041103017</v>
      </c>
    </row>
    <row r="15" spans="3:31" x14ac:dyDescent="0.2">
      <c r="C15">
        <v>110</v>
      </c>
      <c r="D15">
        <v>6.60214305E-6</v>
      </c>
      <c r="I15">
        <v>110</v>
      </c>
      <c r="J15">
        <v>1.9758549275000002E-5</v>
      </c>
      <c r="Q15">
        <v>110</v>
      </c>
      <c r="R15">
        <v>3.505806801E-6</v>
      </c>
      <c r="V15">
        <v>110</v>
      </c>
      <c r="W15">
        <v>0.41210388997347103</v>
      </c>
      <c r="AE15">
        <v>0.6972366163</v>
      </c>
    </row>
    <row r="16" spans="3:31" x14ac:dyDescent="0.2">
      <c r="C16">
        <v>120</v>
      </c>
      <c r="D16">
        <v>6.5430725889999996E-6</v>
      </c>
      <c r="I16">
        <v>120</v>
      </c>
      <c r="J16">
        <v>1.9807235304000001E-5</v>
      </c>
      <c r="Q16">
        <v>120</v>
      </c>
      <c r="R16">
        <v>4.0995825240000002E-6</v>
      </c>
      <c r="V16">
        <v>120</v>
      </c>
      <c r="W16">
        <v>0.38751470490135398</v>
      </c>
      <c r="AE16">
        <v>0.68978057230000001</v>
      </c>
    </row>
    <row r="17" spans="3:31" x14ac:dyDescent="0.2">
      <c r="C17">
        <v>130</v>
      </c>
      <c r="D17">
        <v>7.189863472E-6</v>
      </c>
      <c r="I17">
        <v>130</v>
      </c>
      <c r="J17">
        <v>1.9510591855999998E-5</v>
      </c>
      <c r="Q17">
        <v>130</v>
      </c>
      <c r="R17">
        <v>4.6336192589999997E-6</v>
      </c>
      <c r="V17">
        <v>130</v>
      </c>
      <c r="W17">
        <v>0.40828498589982298</v>
      </c>
      <c r="AE17">
        <v>0.6817719364</v>
      </c>
    </row>
    <row r="18" spans="3:31" x14ac:dyDescent="0.2">
      <c r="C18">
        <v>140</v>
      </c>
      <c r="D18">
        <v>7.8255353669999999E-6</v>
      </c>
      <c r="I18">
        <v>140</v>
      </c>
      <c r="J18">
        <v>1.8978261297999998E-5</v>
      </c>
      <c r="Q18">
        <v>140</v>
      </c>
      <c r="R18">
        <v>5.1113893929999998E-6</v>
      </c>
      <c r="V18">
        <v>140</v>
      </c>
      <c r="W18">
        <v>0.42947118891725</v>
      </c>
      <c r="AE18">
        <v>0.67324444159999997</v>
      </c>
    </row>
    <row r="19" spans="3:31" x14ac:dyDescent="0.2">
      <c r="C19">
        <v>150</v>
      </c>
      <c r="D19">
        <v>8.5249629279999999E-6</v>
      </c>
      <c r="I19">
        <v>150</v>
      </c>
      <c r="J19">
        <v>1.8280099587000001E-5</v>
      </c>
      <c r="Q19">
        <v>150</v>
      </c>
      <c r="R19">
        <v>5.564202953E-6</v>
      </c>
      <c r="V19">
        <v>150</v>
      </c>
      <c r="W19">
        <v>0.45497632022937501</v>
      </c>
      <c r="AE19">
        <v>0.66423529589999997</v>
      </c>
    </row>
    <row r="20" spans="3:31" x14ac:dyDescent="0.2">
      <c r="C20">
        <v>160</v>
      </c>
      <c r="D20">
        <v>8.6397957050000007E-6</v>
      </c>
      <c r="I20">
        <v>160</v>
      </c>
      <c r="J20">
        <v>1.7481416515999999E-5</v>
      </c>
      <c r="Q20">
        <v>160</v>
      </c>
      <c r="R20">
        <v>5.9620548840000003E-6</v>
      </c>
      <c r="V20">
        <v>160</v>
      </c>
      <c r="W20">
        <v>0.45058734367035502</v>
      </c>
      <c r="AE20">
        <v>0.6547847671</v>
      </c>
    </row>
    <row r="21" spans="3:31" x14ac:dyDescent="0.2">
      <c r="C21">
        <v>170</v>
      </c>
      <c r="D21">
        <v>8.0806483839999995E-6</v>
      </c>
      <c r="I21">
        <v>170</v>
      </c>
      <c r="J21">
        <v>1.6644039061000001E-5</v>
      </c>
      <c r="Q21">
        <v>170</v>
      </c>
      <c r="R21">
        <v>6.3016933350000002E-6</v>
      </c>
      <c r="V21">
        <v>170</v>
      </c>
      <c r="W21">
        <v>0.41326801566417098</v>
      </c>
      <c r="AE21">
        <v>0.64493596779999995</v>
      </c>
    </row>
    <row r="22" spans="3:31" x14ac:dyDescent="0.2">
      <c r="C22">
        <v>180</v>
      </c>
      <c r="D22">
        <v>8.9184358550000002E-6</v>
      </c>
      <c r="I22">
        <v>180</v>
      </c>
      <c r="J22">
        <v>1.5788340805E-5</v>
      </c>
      <c r="Q22">
        <v>180</v>
      </c>
      <c r="R22">
        <v>6.6137699759999996E-6</v>
      </c>
      <c r="V22">
        <v>180</v>
      </c>
      <c r="W22">
        <v>0.448535846448677</v>
      </c>
      <c r="AE22">
        <v>0.63473493309999995</v>
      </c>
    </row>
    <row r="23" spans="3:31" x14ac:dyDescent="0.2">
      <c r="C23">
        <v>190</v>
      </c>
      <c r="D23">
        <v>9.6967615960000001E-6</v>
      </c>
      <c r="I23">
        <v>190</v>
      </c>
      <c r="J23">
        <v>1.4935759425000001E-5</v>
      </c>
      <c r="Q23">
        <v>190</v>
      </c>
      <c r="R23">
        <v>6.8956117089999997E-6</v>
      </c>
      <c r="V23">
        <v>190</v>
      </c>
      <c r="W23">
        <v>0.48105818411743001</v>
      </c>
      <c r="AE23">
        <v>0.62423101680000004</v>
      </c>
    </row>
    <row r="24" spans="3:31" x14ac:dyDescent="0.2">
      <c r="C24">
        <v>200</v>
      </c>
      <c r="D24">
        <v>9.3911321140000008E-6</v>
      </c>
      <c r="I24">
        <v>200</v>
      </c>
      <c r="J24">
        <v>1.4113726407E-5</v>
      </c>
      <c r="Q24">
        <v>200</v>
      </c>
      <c r="R24">
        <v>7.139390182E-6</v>
      </c>
      <c r="V24">
        <v>200</v>
      </c>
      <c r="W24">
        <v>0.46035974160670101</v>
      </c>
      <c r="AE24">
        <v>0.61347752830000002</v>
      </c>
    </row>
    <row r="25" spans="3:31" x14ac:dyDescent="0.2">
      <c r="C25">
        <v>210</v>
      </c>
      <c r="D25">
        <v>9.434421776E-6</v>
      </c>
      <c r="I25">
        <v>210</v>
      </c>
      <c r="J25">
        <v>1.331872411E-5</v>
      </c>
      <c r="Q25">
        <v>210</v>
      </c>
      <c r="R25">
        <v>7.3576256870000002E-6</v>
      </c>
      <c r="V25">
        <v>210</v>
      </c>
      <c r="W25">
        <v>0.45773736184888703</v>
      </c>
      <c r="AE25">
        <v>0.60253237699999995</v>
      </c>
    </row>
    <row r="26" spans="3:31" x14ac:dyDescent="0.2">
      <c r="C26">
        <v>220</v>
      </c>
      <c r="D26">
        <v>9.4564887459999996E-6</v>
      </c>
      <c r="I26">
        <v>220</v>
      </c>
      <c r="J26">
        <v>1.2560215681E-5</v>
      </c>
      <c r="Q26">
        <v>220</v>
      </c>
      <c r="R26">
        <v>7.5577701320000004E-6</v>
      </c>
      <c r="V26">
        <v>220</v>
      </c>
      <c r="W26">
        <v>0.45469097725112501</v>
      </c>
      <c r="AE26">
        <v>0.59145830320000004</v>
      </c>
    </row>
    <row r="27" spans="3:31" x14ac:dyDescent="0.2">
      <c r="C27">
        <v>230</v>
      </c>
      <c r="D27">
        <v>9.6290965889999992E-6</v>
      </c>
      <c r="I27">
        <v>230</v>
      </c>
      <c r="J27">
        <v>1.1846606791000001E-5</v>
      </c>
      <c r="Q27">
        <v>230</v>
      </c>
      <c r="R27">
        <v>7.7315115740000003E-6</v>
      </c>
      <c r="V27">
        <v>230</v>
      </c>
      <c r="W27">
        <v>0.459355862827244</v>
      </c>
      <c r="AE27">
        <v>0.58032204720000002</v>
      </c>
    </row>
    <row r="28" spans="3:31" x14ac:dyDescent="0.2">
      <c r="C28">
        <v>240</v>
      </c>
      <c r="D28">
        <v>9.8546445940000003E-6</v>
      </c>
      <c r="I28">
        <v>240</v>
      </c>
      <c r="J28">
        <v>1.1174798546000001E-5</v>
      </c>
      <c r="Q28">
        <v>240</v>
      </c>
      <c r="R28">
        <v>7.8786604600000006E-6</v>
      </c>
      <c r="V28">
        <v>240</v>
      </c>
      <c r="W28">
        <v>0.46692619119700302</v>
      </c>
      <c r="AE28">
        <v>0.56919156879999999</v>
      </c>
    </row>
    <row r="29" spans="3:31" x14ac:dyDescent="0.2">
      <c r="C29">
        <v>250</v>
      </c>
      <c r="D29">
        <v>9.9106459129999996E-6</v>
      </c>
      <c r="I29">
        <v>250</v>
      </c>
      <c r="J29">
        <v>1.0548946074000001E-5</v>
      </c>
      <c r="Q29">
        <v>250</v>
      </c>
      <c r="R29">
        <v>8.027488165E-6</v>
      </c>
      <c r="V29">
        <v>250</v>
      </c>
      <c r="W29">
        <v>0.466790397386878</v>
      </c>
      <c r="AE29">
        <v>0.55813019620000004</v>
      </c>
    </row>
    <row r="30" spans="3:31" x14ac:dyDescent="0.2">
      <c r="C30">
        <v>260</v>
      </c>
      <c r="D30">
        <v>9.8905465559999995E-6</v>
      </c>
      <c r="I30">
        <v>260</v>
      </c>
      <c r="J30">
        <v>9.9535162319999992E-6</v>
      </c>
      <c r="Q30">
        <v>260</v>
      </c>
      <c r="R30">
        <v>8.1664617669999996E-6</v>
      </c>
      <c r="V30">
        <v>260</v>
      </c>
      <c r="W30">
        <v>0.46337794450474001</v>
      </c>
      <c r="AE30">
        <v>0.54718637680000004</v>
      </c>
    </row>
    <row r="31" spans="3:31" x14ac:dyDescent="0.2">
      <c r="C31">
        <v>270</v>
      </c>
      <c r="D31">
        <v>9.9670826580000002E-6</v>
      </c>
      <c r="I31">
        <v>270</v>
      </c>
      <c r="J31">
        <v>9.4004065989999997E-6</v>
      </c>
      <c r="Q31">
        <v>270</v>
      </c>
      <c r="R31">
        <v>8.2679754040000004E-6</v>
      </c>
      <c r="V31">
        <v>270</v>
      </c>
      <c r="W31">
        <v>0.46477390185817902</v>
      </c>
      <c r="AE31">
        <v>0.53637753300000002</v>
      </c>
    </row>
    <row r="32" spans="3:31" x14ac:dyDescent="0.2">
      <c r="C32">
        <v>280</v>
      </c>
      <c r="D32">
        <v>1.0079547701000001E-5</v>
      </c>
      <c r="I32">
        <v>280</v>
      </c>
      <c r="J32">
        <v>8.8899818549999995E-6</v>
      </c>
      <c r="Q32">
        <v>280</v>
      </c>
      <c r="R32">
        <v>8.3657394910000004E-6</v>
      </c>
      <c r="V32">
        <v>280</v>
      </c>
      <c r="W32">
        <v>0.468075447341532</v>
      </c>
      <c r="AE32">
        <v>0.5256663519</v>
      </c>
    </row>
    <row r="33" spans="3:31" x14ac:dyDescent="0.2">
      <c r="C33">
        <v>290</v>
      </c>
      <c r="D33">
        <v>1.0135804725999999E-5</v>
      </c>
      <c r="I33">
        <v>290</v>
      </c>
      <c r="J33">
        <v>8.4075116509999996E-6</v>
      </c>
      <c r="Q33">
        <v>290</v>
      </c>
      <c r="R33">
        <v>8.4619193560000006E-6</v>
      </c>
      <c r="V33">
        <v>290</v>
      </c>
      <c r="W33">
        <v>0.46897949253827997</v>
      </c>
      <c r="AE33">
        <v>0.51492754470000002</v>
      </c>
    </row>
    <row r="34" spans="3:31" x14ac:dyDescent="0.2">
      <c r="C34">
        <v>300</v>
      </c>
      <c r="D34">
        <v>1.0155581919E-5</v>
      </c>
      <c r="I34">
        <v>300</v>
      </c>
      <c r="J34">
        <v>7.9617111050000003E-6</v>
      </c>
      <c r="Q34">
        <v>300</v>
      </c>
      <c r="R34">
        <v>8.5402980070000003E-6</v>
      </c>
      <c r="V34">
        <v>300</v>
      </c>
      <c r="W34">
        <v>0.46836704324385697</v>
      </c>
      <c r="AE34">
        <v>0.5039023923</v>
      </c>
    </row>
    <row r="35" spans="3:31" x14ac:dyDescent="0.2">
      <c r="C35">
        <v>310</v>
      </c>
      <c r="D35">
        <v>1.0191423015E-5</v>
      </c>
      <c r="I35">
        <v>310</v>
      </c>
      <c r="J35">
        <v>7.5392695650000004E-6</v>
      </c>
      <c r="Q35">
        <v>310</v>
      </c>
      <c r="R35">
        <v>8.6176460309999992E-6</v>
      </c>
      <c r="V35">
        <v>310</v>
      </c>
      <c r="W35">
        <v>0.468661329884758</v>
      </c>
      <c r="AE35">
        <v>0.49213656500000003</v>
      </c>
    </row>
    <row r="36" spans="3:31" x14ac:dyDescent="0.2">
      <c r="C36">
        <v>320</v>
      </c>
      <c r="D36">
        <v>1.0221253984999999E-5</v>
      </c>
      <c r="I36">
        <v>320</v>
      </c>
      <c r="J36">
        <v>7.1537796769999999E-6</v>
      </c>
      <c r="Q36">
        <v>320</v>
      </c>
      <c r="R36">
        <v>8.684583928E-6</v>
      </c>
      <c r="V36">
        <v>320</v>
      </c>
      <c r="W36">
        <v>0.46882485465319002</v>
      </c>
      <c r="AE36">
        <v>0.47889233809999998</v>
      </c>
    </row>
    <row r="37" spans="3:31" x14ac:dyDescent="0.2">
      <c r="C37">
        <v>330</v>
      </c>
      <c r="D37">
        <v>1.0275036738999999E-5</v>
      </c>
      <c r="I37">
        <v>330</v>
      </c>
      <c r="J37">
        <v>6.7942762959999999E-6</v>
      </c>
      <c r="Q37">
        <v>330</v>
      </c>
      <c r="R37">
        <v>8.7384676699999993E-6</v>
      </c>
      <c r="V37">
        <v>330</v>
      </c>
      <c r="W37">
        <v>0.47021437773821501</v>
      </c>
      <c r="AE37">
        <v>0.46301631640000002</v>
      </c>
    </row>
    <row r="38" spans="3:31" x14ac:dyDescent="0.2">
      <c r="C38">
        <v>340</v>
      </c>
      <c r="D38">
        <v>1.0306666144E-5</v>
      </c>
      <c r="I38">
        <v>340</v>
      </c>
      <c r="J38">
        <v>6.4518534089999999E-6</v>
      </c>
      <c r="Q38">
        <v>340</v>
      </c>
      <c r="R38">
        <v>8.789458402E-6</v>
      </c>
      <c r="V38">
        <v>340</v>
      </c>
      <c r="W38">
        <v>0.47071469516966102</v>
      </c>
      <c r="AE38">
        <v>0.44272146820000002</v>
      </c>
    </row>
    <row r="39" spans="3:31" x14ac:dyDescent="0.2">
      <c r="C39">
        <v>350</v>
      </c>
      <c r="D39">
        <v>1.0336258845E-5</v>
      </c>
      <c r="I39">
        <v>350</v>
      </c>
      <c r="J39">
        <v>6.1339611229999997E-6</v>
      </c>
      <c r="Q39">
        <v>350</v>
      </c>
      <c r="R39">
        <v>8.8485810679999998E-6</v>
      </c>
      <c r="V39">
        <v>350</v>
      </c>
      <c r="W39">
        <v>0.47121842652661999</v>
      </c>
      <c r="AE39">
        <v>0.41519290790000002</v>
      </c>
    </row>
    <row r="40" spans="3:31" x14ac:dyDescent="0.2">
      <c r="C40">
        <v>360</v>
      </c>
      <c r="D40">
        <v>1.0356351794E-5</v>
      </c>
      <c r="I40">
        <v>360</v>
      </c>
      <c r="J40">
        <v>5.8389332760000001E-6</v>
      </c>
      <c r="Q40">
        <v>360</v>
      </c>
      <c r="R40">
        <v>8.8930782710000001E-6</v>
      </c>
      <c r="V40">
        <v>360</v>
      </c>
      <c r="W40">
        <v>0.47139659506187098</v>
      </c>
      <c r="AE40">
        <v>0.37581965560000002</v>
      </c>
    </row>
    <row r="41" spans="3:31" x14ac:dyDescent="0.2">
      <c r="C41">
        <v>370</v>
      </c>
      <c r="D41">
        <v>1.0365018652E-5</v>
      </c>
      <c r="I41">
        <v>370</v>
      </c>
      <c r="J41">
        <v>5.5702836609999998E-6</v>
      </c>
      <c r="Q41">
        <v>370</v>
      </c>
      <c r="R41">
        <v>8.9284364709999998E-6</v>
      </c>
      <c r="V41">
        <v>370</v>
      </c>
      <c r="W41">
        <v>0.47112933073070601</v>
      </c>
      <c r="AE41">
        <v>0.3166536351</v>
      </c>
    </row>
    <row r="42" spans="3:31" x14ac:dyDescent="0.2">
      <c r="C42">
        <v>380</v>
      </c>
      <c r="D42">
        <v>1.0390391017E-5</v>
      </c>
      <c r="I42">
        <v>380</v>
      </c>
      <c r="J42">
        <v>5.3110572210000004E-6</v>
      </c>
      <c r="Q42">
        <v>380</v>
      </c>
      <c r="R42">
        <v>8.9630023370000007E-6</v>
      </c>
      <c r="V42">
        <v>380</v>
      </c>
      <c r="W42">
        <v>0.47170709364914898</v>
      </c>
      <c r="AE42">
        <v>0.22369966099999999</v>
      </c>
    </row>
    <row r="43" spans="3:31" x14ac:dyDescent="0.2">
      <c r="C43">
        <v>390</v>
      </c>
      <c r="D43">
        <v>1.0406142744E-5</v>
      </c>
      <c r="I43">
        <v>390</v>
      </c>
      <c r="J43">
        <v>5.0651151900000003E-6</v>
      </c>
      <c r="Q43">
        <v>390</v>
      </c>
      <c r="R43">
        <v>8.98868547E-6</v>
      </c>
      <c r="V43">
        <v>390</v>
      </c>
      <c r="W43">
        <v>0.47192028148204002</v>
      </c>
      <c r="AE43">
        <v>7.7343522400000003E-2</v>
      </c>
    </row>
    <row r="44" spans="3:31" x14ac:dyDescent="0.2">
      <c r="C44">
        <v>400</v>
      </c>
      <c r="D44">
        <v>1.0422299452E-5</v>
      </c>
      <c r="I44">
        <v>400</v>
      </c>
      <c r="J44">
        <v>4.8339339299999996E-6</v>
      </c>
      <c r="Q44">
        <v>400</v>
      </c>
      <c r="R44">
        <v>9.0189938359999996E-6</v>
      </c>
      <c r="V44">
        <v>400</v>
      </c>
      <c r="W44">
        <v>0.47222094459333003</v>
      </c>
      <c r="AE44">
        <v>-9.7361363800000003E-2</v>
      </c>
    </row>
    <row r="45" spans="3:31" x14ac:dyDescent="0.2">
      <c r="C45">
        <v>410</v>
      </c>
      <c r="D45">
        <v>1.0426035959E-5</v>
      </c>
      <c r="I45">
        <v>410</v>
      </c>
      <c r="J45">
        <v>4.6257855489999998E-6</v>
      </c>
      <c r="Q45">
        <v>410</v>
      </c>
      <c r="R45">
        <v>9.0447061529999998E-6</v>
      </c>
      <c r="V45">
        <v>410</v>
      </c>
      <c r="W45">
        <v>0.47201909215092203</v>
      </c>
      <c r="AE45">
        <v>-0.14035138990000001</v>
      </c>
    </row>
    <row r="46" spans="3:31" x14ac:dyDescent="0.2">
      <c r="C46">
        <v>420</v>
      </c>
      <c r="D46">
        <v>1.0433861735000001E-5</v>
      </c>
      <c r="I46">
        <v>420</v>
      </c>
      <c r="J46">
        <v>4.4307490330000001E-6</v>
      </c>
      <c r="Q46">
        <v>420</v>
      </c>
      <c r="R46">
        <v>9.0663186139999999E-6</v>
      </c>
      <c r="V46">
        <v>420</v>
      </c>
      <c r="W46">
        <v>0.47205544278101302</v>
      </c>
      <c r="AE46">
        <v>0.73303442640000005</v>
      </c>
    </row>
    <row r="47" spans="3:31" x14ac:dyDescent="0.2">
      <c r="C47">
        <v>430</v>
      </c>
      <c r="D47">
        <v>1.0459330183E-5</v>
      </c>
      <c r="I47">
        <v>430</v>
      </c>
      <c r="J47">
        <v>4.2324481999999998E-6</v>
      </c>
      <c r="Q47">
        <v>430</v>
      </c>
      <c r="R47">
        <v>9.0786209570000003E-6</v>
      </c>
      <c r="V47">
        <v>430</v>
      </c>
      <c r="W47">
        <v>0.47294616563616199</v>
      </c>
      <c r="AE47">
        <v>0.73195022190000003</v>
      </c>
    </row>
    <row r="48" spans="3:31" x14ac:dyDescent="0.2">
      <c r="C48">
        <v>440</v>
      </c>
      <c r="D48">
        <v>1.0469230074E-5</v>
      </c>
      <c r="I48">
        <v>440</v>
      </c>
      <c r="J48">
        <v>4.0549487240000001E-6</v>
      </c>
      <c r="Q48">
        <v>440</v>
      </c>
      <c r="R48">
        <v>9.1059643490000007E-6</v>
      </c>
      <c r="V48">
        <v>440</v>
      </c>
      <c r="W48">
        <v>0.47319100405883202</v>
      </c>
      <c r="AE48">
        <v>0.72978959769999996</v>
      </c>
    </row>
    <row r="49" spans="3:31" x14ac:dyDescent="0.2">
      <c r="C49">
        <v>450</v>
      </c>
      <c r="D49">
        <v>1.0465668396E-5</v>
      </c>
      <c r="I49">
        <v>450</v>
      </c>
      <c r="J49">
        <v>3.8934572159999999E-6</v>
      </c>
      <c r="Q49">
        <v>450</v>
      </c>
      <c r="R49">
        <v>9.1242464370000004E-6</v>
      </c>
      <c r="V49">
        <v>450</v>
      </c>
      <c r="W49">
        <v>0.47286681096598998</v>
      </c>
      <c r="AE49">
        <v>0.72673968919999998</v>
      </c>
    </row>
    <row r="50" spans="3:31" x14ac:dyDescent="0.2">
      <c r="C50">
        <v>460</v>
      </c>
      <c r="D50">
        <v>1.0474668947E-5</v>
      </c>
      <c r="I50">
        <v>460</v>
      </c>
      <c r="J50">
        <v>3.7360868820000002E-6</v>
      </c>
      <c r="Q50">
        <v>460</v>
      </c>
      <c r="R50">
        <v>9.1333425589999993E-6</v>
      </c>
      <c r="V50">
        <v>460</v>
      </c>
      <c r="W50">
        <v>0.47315354407730398</v>
      </c>
      <c r="AE50">
        <v>0.72290675900000001</v>
      </c>
    </row>
    <row r="51" spans="3:31" x14ac:dyDescent="0.2">
      <c r="C51">
        <v>470</v>
      </c>
      <c r="D51">
        <v>1.0473061399999999E-5</v>
      </c>
      <c r="I51">
        <v>470</v>
      </c>
      <c r="J51">
        <v>3.587840588E-6</v>
      </c>
      <c r="Q51">
        <v>470</v>
      </c>
      <c r="R51">
        <v>9.1499256010000003E-6</v>
      </c>
      <c r="V51">
        <v>470</v>
      </c>
      <c r="W51">
        <v>0.473005352707694</v>
      </c>
      <c r="AE51">
        <v>0.71834717999999997</v>
      </c>
    </row>
    <row r="52" spans="3:31" x14ac:dyDescent="0.2">
      <c r="C52">
        <v>480</v>
      </c>
      <c r="D52">
        <v>1.0470598475000001E-5</v>
      </c>
      <c r="I52">
        <v>480</v>
      </c>
      <c r="J52">
        <v>3.4477961080000001E-6</v>
      </c>
      <c r="Q52">
        <v>480</v>
      </c>
      <c r="R52">
        <v>9.1424855949999997E-6</v>
      </c>
      <c r="V52">
        <v>480</v>
      </c>
      <c r="W52">
        <v>0.47284995485364201</v>
      </c>
      <c r="AE52">
        <v>0.7130961616</v>
      </c>
    </row>
    <row r="53" spans="3:31" x14ac:dyDescent="0.2">
      <c r="C53">
        <v>490</v>
      </c>
      <c r="D53">
        <v>1.0475377875E-5</v>
      </c>
      <c r="I53">
        <v>490</v>
      </c>
      <c r="J53">
        <v>3.3146132089999999E-6</v>
      </c>
      <c r="Q53">
        <v>490</v>
      </c>
      <c r="R53">
        <v>9.1528203429999996E-6</v>
      </c>
      <c r="V53">
        <v>490</v>
      </c>
      <c r="W53">
        <v>0.47305783003692697</v>
      </c>
      <c r="AE53">
        <v>0.70718131399999995</v>
      </c>
    </row>
    <row r="54" spans="3:31" x14ac:dyDescent="0.2">
      <c r="C54">
        <v>500</v>
      </c>
      <c r="D54">
        <v>1.047844129E-5</v>
      </c>
      <c r="I54">
        <v>500</v>
      </c>
      <c r="J54">
        <v>3.1908956829999999E-6</v>
      </c>
      <c r="Q54">
        <v>500</v>
      </c>
      <c r="R54">
        <v>9.1674147229999998E-6</v>
      </c>
      <c r="V54">
        <v>500</v>
      </c>
      <c r="W54">
        <v>0.47322520237293397</v>
      </c>
      <c r="AE54">
        <v>0.70062888509999999</v>
      </c>
    </row>
    <row r="55" spans="3:31" x14ac:dyDescent="0.2">
      <c r="C55">
        <v>510</v>
      </c>
      <c r="D55">
        <v>1.0476592259000001E-5</v>
      </c>
      <c r="I55">
        <v>510</v>
      </c>
      <c r="J55">
        <v>3.073146313E-6</v>
      </c>
      <c r="Q55">
        <v>510</v>
      </c>
      <c r="R55">
        <v>9.1683207959999996E-6</v>
      </c>
      <c r="V55">
        <v>510</v>
      </c>
      <c r="W55">
        <v>0.47320540420399698</v>
      </c>
      <c r="AE55">
        <v>0.6934666451</v>
      </c>
    </row>
    <row r="56" spans="3:31" x14ac:dyDescent="0.2">
      <c r="C56">
        <v>520</v>
      </c>
      <c r="D56">
        <v>1.0471279958E-5</v>
      </c>
      <c r="I56">
        <v>520</v>
      </c>
      <c r="J56">
        <v>2.9603419550000001E-6</v>
      </c>
      <c r="Q56">
        <v>520</v>
      </c>
      <c r="R56">
        <v>9.1777840149999998E-6</v>
      </c>
      <c r="V56">
        <v>520</v>
      </c>
      <c r="W56">
        <v>0.47305535565343099</v>
      </c>
      <c r="AE56">
        <v>0.68572512640000005</v>
      </c>
    </row>
    <row r="57" spans="3:31" x14ac:dyDescent="0.2">
      <c r="C57">
        <v>530</v>
      </c>
      <c r="D57">
        <v>1.0474790547000001E-5</v>
      </c>
      <c r="I57">
        <v>530</v>
      </c>
      <c r="J57">
        <v>2.8560083890000001E-6</v>
      </c>
      <c r="Q57">
        <v>530</v>
      </c>
      <c r="R57">
        <v>9.1737331409999998E-6</v>
      </c>
      <c r="V57">
        <v>530</v>
      </c>
      <c r="W57">
        <v>0.47333240670598598</v>
      </c>
      <c r="AE57">
        <v>0.67743800539999999</v>
      </c>
    </row>
    <row r="58" spans="3:31" x14ac:dyDescent="0.2">
      <c r="C58">
        <v>540</v>
      </c>
      <c r="D58">
        <v>1.0467253488E-5</v>
      </c>
      <c r="I58">
        <v>540</v>
      </c>
      <c r="J58">
        <v>2.7553290419999998E-6</v>
      </c>
      <c r="Q58">
        <v>540</v>
      </c>
      <c r="R58">
        <v>9.1776353730000003E-6</v>
      </c>
      <c r="V58">
        <v>540</v>
      </c>
      <c r="W58">
        <v>0.47314490796797598</v>
      </c>
      <c r="AE58">
        <v>0.66864204540000005</v>
      </c>
    </row>
    <row r="59" spans="3:31" x14ac:dyDescent="0.2">
      <c r="C59">
        <v>550</v>
      </c>
      <c r="D59">
        <v>1.0458411395E-5</v>
      </c>
      <c r="I59">
        <v>550</v>
      </c>
      <c r="J59">
        <v>2.6571184460000001E-6</v>
      </c>
      <c r="Q59">
        <v>550</v>
      </c>
      <c r="R59">
        <v>9.1797780020000002E-6</v>
      </c>
      <c r="V59">
        <v>550</v>
      </c>
      <c r="W59">
        <v>0.47291423401342902</v>
      </c>
      <c r="AE59">
        <v>0.65937687950000001</v>
      </c>
    </row>
    <row r="60" spans="3:31" x14ac:dyDescent="0.2">
      <c r="C60">
        <v>560</v>
      </c>
      <c r="D60">
        <v>1.0456537513999999E-5</v>
      </c>
      <c r="I60">
        <v>560</v>
      </c>
      <c r="J60">
        <v>2.560916886E-6</v>
      </c>
      <c r="Q60">
        <v>560</v>
      </c>
      <c r="R60">
        <v>9.1751455370000008E-6</v>
      </c>
      <c r="V60">
        <v>560</v>
      </c>
      <c r="W60">
        <v>0.473029529182387</v>
      </c>
      <c r="AE60">
        <v>0.64968483759999995</v>
      </c>
    </row>
    <row r="61" spans="3:31" x14ac:dyDescent="0.2">
      <c r="C61">
        <v>570</v>
      </c>
      <c r="D61">
        <v>1.0451159681000001E-5</v>
      </c>
      <c r="I61">
        <v>570</v>
      </c>
      <c r="J61">
        <v>2.4775188240000001E-6</v>
      </c>
      <c r="Q61">
        <v>570</v>
      </c>
      <c r="R61">
        <v>9.1828857029999993E-6</v>
      </c>
      <c r="V61">
        <v>570</v>
      </c>
      <c r="W61">
        <v>0.47300829765922497</v>
      </c>
      <c r="AE61">
        <v>0.63961097229999997</v>
      </c>
    </row>
    <row r="62" spans="3:31" x14ac:dyDescent="0.2">
      <c r="C62">
        <v>580</v>
      </c>
      <c r="D62">
        <v>1.0442813208999999E-5</v>
      </c>
      <c r="I62">
        <v>580</v>
      </c>
      <c r="J62">
        <v>2.3985630010000001E-6</v>
      </c>
      <c r="Q62">
        <v>580</v>
      </c>
      <c r="R62">
        <v>9.1748541490000005E-6</v>
      </c>
      <c r="V62">
        <v>580</v>
      </c>
      <c r="W62">
        <v>0.47287833468812401</v>
      </c>
      <c r="AE62">
        <v>0.62920336840000002</v>
      </c>
    </row>
    <row r="63" spans="3:31" x14ac:dyDescent="0.2">
      <c r="C63">
        <v>590</v>
      </c>
      <c r="D63">
        <v>1.0432393612E-5</v>
      </c>
      <c r="I63">
        <v>590</v>
      </c>
      <c r="J63">
        <v>2.316611154E-6</v>
      </c>
      <c r="Q63">
        <v>590</v>
      </c>
      <c r="R63">
        <v>9.1707677490000001E-6</v>
      </c>
      <c r="V63">
        <v>590</v>
      </c>
      <c r="W63">
        <v>0.47267255083444798</v>
      </c>
      <c r="AE63">
        <v>0.6185137288</v>
      </c>
    </row>
    <row r="64" spans="3:31" x14ac:dyDescent="0.2">
      <c r="C64">
        <v>600</v>
      </c>
      <c r="D64">
        <v>1.0433796721E-5</v>
      </c>
      <c r="I64">
        <v>600</v>
      </c>
      <c r="J64">
        <v>2.2420641869999999E-6</v>
      </c>
      <c r="Q64">
        <v>600</v>
      </c>
      <c r="R64">
        <v>9.1659727459999992E-6</v>
      </c>
      <c r="V64">
        <v>600</v>
      </c>
      <c r="W64">
        <v>0.47302379624570301</v>
      </c>
      <c r="AE64">
        <v>0.6075980903</v>
      </c>
    </row>
    <row r="65" spans="3:31" x14ac:dyDescent="0.2">
      <c r="C65">
        <v>610</v>
      </c>
      <c r="D65">
        <v>1.0422170112E-5</v>
      </c>
      <c r="I65">
        <v>610</v>
      </c>
      <c r="J65">
        <v>2.1708796400000001E-6</v>
      </c>
      <c r="Q65">
        <v>610</v>
      </c>
      <c r="R65">
        <v>9.1683371209999994E-6</v>
      </c>
      <c r="V65">
        <v>610</v>
      </c>
      <c r="W65">
        <v>0.47281623880210999</v>
      </c>
      <c r="AE65">
        <v>0.59651735309999998</v>
      </c>
    </row>
    <row r="66" spans="3:31" x14ac:dyDescent="0.2">
      <c r="C66">
        <v>620</v>
      </c>
      <c r="D66">
        <v>1.0405303294E-5</v>
      </c>
      <c r="I66">
        <v>620</v>
      </c>
      <c r="J66">
        <v>2.1024367479999999E-6</v>
      </c>
      <c r="Q66">
        <v>620</v>
      </c>
      <c r="R66">
        <v>9.160629387E-6</v>
      </c>
      <c r="V66">
        <v>620</v>
      </c>
      <c r="W66">
        <v>0.472375073328408</v>
      </c>
      <c r="AE66">
        <v>0.5853370899</v>
      </c>
    </row>
    <row r="67" spans="3:31" x14ac:dyDescent="0.2">
      <c r="C67">
        <v>630</v>
      </c>
      <c r="D67">
        <v>1.0400674389E-5</v>
      </c>
      <c r="I67">
        <v>630</v>
      </c>
      <c r="J67">
        <v>2.0371447829999999E-6</v>
      </c>
      <c r="Q67">
        <v>630</v>
      </c>
      <c r="R67">
        <v>9.1418017380000005E-6</v>
      </c>
      <c r="V67">
        <v>630</v>
      </c>
      <c r="W67">
        <v>0.472517553216247</v>
      </c>
      <c r="AE67">
        <v>0.57412587020000005</v>
      </c>
    </row>
    <row r="68" spans="3:31" x14ac:dyDescent="0.2">
      <c r="C68">
        <v>640</v>
      </c>
      <c r="D68">
        <v>1.0389374123E-5</v>
      </c>
      <c r="I68">
        <v>640</v>
      </c>
      <c r="J68">
        <v>1.971099214E-6</v>
      </c>
      <c r="Q68">
        <v>640</v>
      </c>
      <c r="R68">
        <v>9.1454860560000002E-6</v>
      </c>
      <c r="V68">
        <v>640</v>
      </c>
      <c r="W68">
        <v>0.472370566554286</v>
      </c>
      <c r="AE68">
        <v>0.56295109089999995</v>
      </c>
    </row>
    <row r="69" spans="3:31" x14ac:dyDescent="0.2">
      <c r="C69">
        <v>650</v>
      </c>
      <c r="D69">
        <v>1.037499959E-5</v>
      </c>
      <c r="I69">
        <v>650</v>
      </c>
      <c r="J69">
        <v>1.9164346960000001E-6</v>
      </c>
      <c r="Q69">
        <v>650</v>
      </c>
      <c r="R69">
        <v>9.1419240000000003E-6</v>
      </c>
      <c r="V69">
        <v>650</v>
      </c>
      <c r="W69">
        <v>0.47210315656134699</v>
      </c>
      <c r="AE69">
        <v>0.55187108679999997</v>
      </c>
    </row>
    <row r="70" spans="3:31" x14ac:dyDescent="0.2">
      <c r="C70">
        <v>660</v>
      </c>
      <c r="D70">
        <v>1.0364566525E-5</v>
      </c>
      <c r="I70">
        <v>660</v>
      </c>
      <c r="J70">
        <v>1.8600248829999999E-6</v>
      </c>
      <c r="Q70">
        <v>660</v>
      </c>
      <c r="R70">
        <v>9.1350150570000005E-6</v>
      </c>
      <c r="V70">
        <v>660</v>
      </c>
      <c r="W70">
        <v>0.47202767292723602</v>
      </c>
      <c r="AE70">
        <v>0.54092210799999996</v>
      </c>
    </row>
    <row r="71" spans="3:31" x14ac:dyDescent="0.2">
      <c r="C71">
        <v>670</v>
      </c>
      <c r="D71">
        <v>1.0357046144999999E-5</v>
      </c>
      <c r="I71">
        <v>670</v>
      </c>
      <c r="J71">
        <v>1.8003702219999999E-6</v>
      </c>
      <c r="Q71">
        <v>670</v>
      </c>
      <c r="R71">
        <v>9.1269407120000001E-6</v>
      </c>
      <c r="V71">
        <v>670</v>
      </c>
      <c r="W71">
        <v>0.47210693358174499</v>
      </c>
      <c r="AE71">
        <v>0.53009858970000001</v>
      </c>
    </row>
    <row r="72" spans="3:31" x14ac:dyDescent="0.2">
      <c r="C72">
        <v>680</v>
      </c>
      <c r="D72">
        <v>1.0342261796000001E-5</v>
      </c>
      <c r="I72">
        <v>680</v>
      </c>
      <c r="J72">
        <v>1.7557430139999999E-6</v>
      </c>
      <c r="Q72">
        <v>680</v>
      </c>
      <c r="R72">
        <v>9.1148098139999998E-6</v>
      </c>
      <c r="V72">
        <v>680</v>
      </c>
      <c r="W72">
        <v>0.47187353915738001</v>
      </c>
      <c r="AE72">
        <v>0.51932493449999995</v>
      </c>
    </row>
    <row r="73" spans="3:31" x14ac:dyDescent="0.2">
      <c r="C73">
        <v>690</v>
      </c>
      <c r="D73">
        <v>1.0327592295999999E-5</v>
      </c>
      <c r="I73">
        <v>690</v>
      </c>
      <c r="J73">
        <v>1.705075759E-6</v>
      </c>
      <c r="Q73">
        <v>690</v>
      </c>
      <c r="R73">
        <v>9.1076448759999996E-6</v>
      </c>
      <c r="V73">
        <v>690</v>
      </c>
      <c r="W73">
        <v>0.47165493795189101</v>
      </c>
      <c r="AE73">
        <v>0.50841657539999996</v>
      </c>
    </row>
    <row r="74" spans="3:31" x14ac:dyDescent="0.2">
      <c r="C74">
        <v>700</v>
      </c>
      <c r="D74">
        <v>1.0312886373E-5</v>
      </c>
      <c r="I74">
        <v>700</v>
      </c>
      <c r="J74">
        <v>1.6498826270000001E-6</v>
      </c>
      <c r="Q74">
        <v>700</v>
      </c>
      <c r="R74">
        <v>9.1009307620000008E-6</v>
      </c>
      <c r="V74">
        <v>700</v>
      </c>
      <c r="W74">
        <v>0.47145415160603199</v>
      </c>
      <c r="AE74">
        <v>0.49702694250000001</v>
      </c>
    </row>
    <row r="75" spans="3:31" x14ac:dyDescent="0.2">
      <c r="C75">
        <v>710</v>
      </c>
      <c r="D75">
        <v>1.0299417794999999E-5</v>
      </c>
      <c r="I75">
        <v>710</v>
      </c>
      <c r="J75">
        <v>1.607743609E-6</v>
      </c>
      <c r="Q75">
        <v>710</v>
      </c>
      <c r="R75">
        <v>9.0916506720000003E-6</v>
      </c>
      <c r="V75">
        <v>710</v>
      </c>
      <c r="W75">
        <v>0.47131888472255701</v>
      </c>
      <c r="AE75">
        <v>0.48457412150000001</v>
      </c>
    </row>
    <row r="76" spans="3:31" x14ac:dyDescent="0.2">
      <c r="C76">
        <v>720</v>
      </c>
      <c r="D76">
        <v>1.0287456923999999E-5</v>
      </c>
      <c r="I76">
        <v>720</v>
      </c>
      <c r="J76">
        <v>1.5673239830000001E-6</v>
      </c>
      <c r="Q76">
        <v>720</v>
      </c>
      <c r="R76">
        <v>9.0801415280000004E-6</v>
      </c>
      <c r="V76">
        <v>720</v>
      </c>
      <c r="W76">
        <v>0.471273628250657</v>
      </c>
      <c r="AE76">
        <v>0.47013439010000002</v>
      </c>
    </row>
    <row r="77" spans="3:31" x14ac:dyDescent="0.2">
      <c r="C77">
        <v>730</v>
      </c>
      <c r="D77">
        <v>1.0269252933E-5</v>
      </c>
      <c r="I77">
        <v>730</v>
      </c>
      <c r="J77">
        <v>1.518119595E-6</v>
      </c>
      <c r="Q77">
        <v>730</v>
      </c>
      <c r="R77">
        <v>9.0719894779999999E-6</v>
      </c>
      <c r="V77">
        <v>730</v>
      </c>
      <c r="W77">
        <v>0.470956145942177</v>
      </c>
      <c r="AE77">
        <v>0.45227498779999997</v>
      </c>
    </row>
    <row r="78" spans="3:31" x14ac:dyDescent="0.2">
      <c r="C78">
        <v>740</v>
      </c>
      <c r="D78">
        <v>1.0253850222E-5</v>
      </c>
      <c r="I78">
        <v>740</v>
      </c>
      <c r="J78">
        <v>1.4772699560000001E-6</v>
      </c>
      <c r="Q78">
        <v>740</v>
      </c>
      <c r="R78">
        <v>9.0641921409999997E-6</v>
      </c>
      <c r="V78">
        <v>740</v>
      </c>
      <c r="W78">
        <v>0.47077331982766402</v>
      </c>
      <c r="AE78">
        <v>0.42876573610000002</v>
      </c>
    </row>
    <row r="79" spans="3:31" x14ac:dyDescent="0.2">
      <c r="C79">
        <v>750</v>
      </c>
      <c r="D79">
        <v>1.0235928436000001E-5</v>
      </c>
      <c r="I79">
        <v>750</v>
      </c>
      <c r="J79">
        <v>1.4449270780000001E-6</v>
      </c>
      <c r="Q79">
        <v>750</v>
      </c>
      <c r="R79">
        <v>9.0528495899999996E-6</v>
      </c>
      <c r="V79">
        <v>750</v>
      </c>
      <c r="W79">
        <v>0.47049325154825</v>
      </c>
      <c r="AE79">
        <v>0.39603772529999998</v>
      </c>
    </row>
    <row r="80" spans="3:31" x14ac:dyDescent="0.2">
      <c r="C80">
        <v>760</v>
      </c>
      <c r="D80">
        <v>1.022174543E-5</v>
      </c>
      <c r="I80">
        <v>760</v>
      </c>
      <c r="J80">
        <v>1.4073238180000001E-6</v>
      </c>
      <c r="Q80">
        <v>760</v>
      </c>
      <c r="R80">
        <v>9.0433099140000005E-6</v>
      </c>
      <c r="V80">
        <v>760</v>
      </c>
      <c r="W80">
        <v>0.47039117428450899</v>
      </c>
      <c r="AE80">
        <v>0.34811176389999998</v>
      </c>
    </row>
    <row r="81" spans="3:31" x14ac:dyDescent="0.2">
      <c r="C81">
        <v>770</v>
      </c>
      <c r="D81">
        <v>1.0206758876999999E-5</v>
      </c>
      <c r="I81">
        <v>770</v>
      </c>
      <c r="J81">
        <v>1.368188078E-6</v>
      </c>
      <c r="Q81">
        <v>770</v>
      </c>
      <c r="R81">
        <v>9.0317440239999999E-6</v>
      </c>
      <c r="V81">
        <v>770</v>
      </c>
      <c r="W81">
        <v>0.47027467281972701</v>
      </c>
      <c r="AE81">
        <v>0.27454616059999998</v>
      </c>
    </row>
    <row r="82" spans="3:31" x14ac:dyDescent="0.2">
      <c r="C82">
        <v>780</v>
      </c>
      <c r="D82">
        <v>1.0186316319999999E-5</v>
      </c>
      <c r="I82">
        <v>780</v>
      </c>
      <c r="J82">
        <v>1.329219976E-6</v>
      </c>
      <c r="Q82">
        <v>780</v>
      </c>
      <c r="R82">
        <v>9.0206195550000004E-6</v>
      </c>
      <c r="V82">
        <v>780</v>
      </c>
      <c r="W82">
        <v>0.469912910728285</v>
      </c>
      <c r="AE82">
        <v>0.15814922980000001</v>
      </c>
    </row>
    <row r="83" spans="3:31" x14ac:dyDescent="0.2">
      <c r="C83">
        <v>790</v>
      </c>
      <c r="D83">
        <v>1.0170176895E-5</v>
      </c>
      <c r="I83">
        <v>790</v>
      </c>
      <c r="J83">
        <v>1.2946959669999999E-6</v>
      </c>
      <c r="Q83">
        <v>790</v>
      </c>
      <c r="R83">
        <v>9.0102009810000006E-6</v>
      </c>
      <c r="V83">
        <v>790</v>
      </c>
      <c r="W83">
        <v>0.469763211887603</v>
      </c>
      <c r="AE83">
        <v>-1.03223594E-2</v>
      </c>
    </row>
    <row r="84" spans="3:31" x14ac:dyDescent="0.2">
      <c r="C84">
        <v>800</v>
      </c>
      <c r="D84">
        <v>1.0153223557E-5</v>
      </c>
      <c r="I84">
        <v>800</v>
      </c>
      <c r="J84">
        <v>1.266682922E-6</v>
      </c>
      <c r="Q84">
        <v>800</v>
      </c>
      <c r="R84">
        <v>8.9982767599999994E-6</v>
      </c>
      <c r="V84">
        <v>800</v>
      </c>
      <c r="W84">
        <v>0.469586866700966</v>
      </c>
      <c r="AE84">
        <v>-0.1224552495</v>
      </c>
    </row>
    <row r="85" spans="3:31" x14ac:dyDescent="0.2">
      <c r="C85">
        <v>810</v>
      </c>
      <c r="D85">
        <v>1.0133284577E-5</v>
      </c>
      <c r="I85">
        <v>810</v>
      </c>
      <c r="J85">
        <v>1.2352648870000001E-6</v>
      </c>
      <c r="Q85">
        <v>810</v>
      </c>
      <c r="R85">
        <v>8.9850357089999994E-6</v>
      </c>
      <c r="V85">
        <v>810</v>
      </c>
      <c r="W85">
        <v>0.469286910212108</v>
      </c>
      <c r="AE85">
        <v>0.73084563199999997</v>
      </c>
    </row>
    <row r="86" spans="3:31" x14ac:dyDescent="0.2">
      <c r="C86">
        <v>820</v>
      </c>
      <c r="D86">
        <v>1.011489963E-5</v>
      </c>
      <c r="I86">
        <v>820</v>
      </c>
      <c r="J86">
        <v>1.204531912E-6</v>
      </c>
      <c r="Q86">
        <v>820</v>
      </c>
      <c r="R86">
        <v>8.9748384180000003E-6</v>
      </c>
      <c r="V86">
        <v>820</v>
      </c>
      <c r="W86">
        <v>0.46906311466193101</v>
      </c>
      <c r="AE86">
        <v>0.72917802570000001</v>
      </c>
    </row>
    <row r="87" spans="3:31" x14ac:dyDescent="0.2">
      <c r="C87">
        <v>830</v>
      </c>
      <c r="D87">
        <v>1.0097965588999999E-5</v>
      </c>
      <c r="I87">
        <v>830</v>
      </c>
      <c r="J87">
        <v>1.177409973E-6</v>
      </c>
      <c r="Q87">
        <v>830</v>
      </c>
      <c r="R87">
        <v>8.964415993E-6</v>
      </c>
      <c r="V87">
        <v>830</v>
      </c>
      <c r="W87">
        <v>0.46892464668874301</v>
      </c>
      <c r="AE87">
        <v>0.72692665869999995</v>
      </c>
    </row>
    <row r="88" spans="3:31" x14ac:dyDescent="0.2">
      <c r="C88">
        <v>840</v>
      </c>
      <c r="D88">
        <v>1.0073923269E-5</v>
      </c>
      <c r="I88">
        <v>840</v>
      </c>
      <c r="J88">
        <v>1.149346923E-6</v>
      </c>
      <c r="Q88">
        <v>840</v>
      </c>
      <c r="R88">
        <v>8.9497199810000004E-6</v>
      </c>
      <c r="V88">
        <v>840</v>
      </c>
      <c r="W88">
        <v>0.468465912039847</v>
      </c>
      <c r="AE88">
        <v>0.72384017160000003</v>
      </c>
    </row>
    <row r="89" spans="3:31" x14ac:dyDescent="0.2">
      <c r="C89">
        <v>850</v>
      </c>
      <c r="D89">
        <v>1.0054477945000001E-5</v>
      </c>
      <c r="I89">
        <v>850</v>
      </c>
      <c r="J89">
        <v>1.1251073239999999E-6</v>
      </c>
      <c r="Q89">
        <v>850</v>
      </c>
      <c r="R89">
        <v>8.9413858539999994E-6</v>
      </c>
      <c r="V89">
        <v>850</v>
      </c>
      <c r="W89">
        <v>0.46821983938158002</v>
      </c>
      <c r="AE89">
        <v>0.71991888569999996</v>
      </c>
    </row>
    <row r="90" spans="3:31" x14ac:dyDescent="0.2">
      <c r="C90">
        <v>860</v>
      </c>
      <c r="D90">
        <v>1.0039362466000001E-5</v>
      </c>
      <c r="I90">
        <v>860</v>
      </c>
      <c r="J90">
        <v>1.0982939760000001E-6</v>
      </c>
      <c r="Q90">
        <v>860</v>
      </c>
      <c r="R90">
        <v>8.9275670869999996E-6</v>
      </c>
      <c r="V90">
        <v>860</v>
      </c>
      <c r="W90">
        <v>0.46819630756645397</v>
      </c>
      <c r="AE90">
        <v>0.7152078113</v>
      </c>
    </row>
    <row r="91" spans="3:31" x14ac:dyDescent="0.2">
      <c r="C91">
        <v>870</v>
      </c>
      <c r="D91">
        <v>1.0015605997E-5</v>
      </c>
      <c r="I91">
        <v>870</v>
      </c>
      <c r="J91">
        <v>1.0650912589999999E-6</v>
      </c>
      <c r="Q91">
        <v>870</v>
      </c>
      <c r="R91">
        <v>8.9110986419999992E-6</v>
      </c>
      <c r="V91">
        <v>870</v>
      </c>
      <c r="W91">
        <v>0.46778249535591898</v>
      </c>
      <c r="AE91">
        <v>0.70975243889999995</v>
      </c>
    </row>
    <row r="92" spans="3:31" x14ac:dyDescent="0.2">
      <c r="C92">
        <v>880</v>
      </c>
      <c r="D92">
        <v>9.9933037930000002E-6</v>
      </c>
      <c r="I92">
        <v>880</v>
      </c>
      <c r="J92">
        <v>1.0424900170000001E-6</v>
      </c>
      <c r="Q92">
        <v>880</v>
      </c>
      <c r="R92">
        <v>8.9018574410000004E-6</v>
      </c>
      <c r="V92">
        <v>880</v>
      </c>
      <c r="W92">
        <v>0.467434503276832</v>
      </c>
      <c r="AE92">
        <v>0.70359327169999997</v>
      </c>
    </row>
    <row r="93" spans="3:31" x14ac:dyDescent="0.2">
      <c r="C93">
        <v>890</v>
      </c>
      <c r="D93">
        <v>9.9739998240000008E-6</v>
      </c>
      <c r="I93">
        <v>890</v>
      </c>
      <c r="J93">
        <v>1.022897716E-6</v>
      </c>
      <c r="Q93">
        <v>890</v>
      </c>
      <c r="R93">
        <v>8.8916827079999995E-6</v>
      </c>
      <c r="V93">
        <v>890</v>
      </c>
      <c r="W93">
        <v>0.46724372917705498</v>
      </c>
      <c r="AE93">
        <v>0.69676770519999998</v>
      </c>
    </row>
    <row r="94" spans="3:31" x14ac:dyDescent="0.2">
      <c r="C94">
        <v>900</v>
      </c>
      <c r="D94">
        <v>9.9509070709999998E-6</v>
      </c>
      <c r="I94">
        <v>900</v>
      </c>
      <c r="J94">
        <v>9.9914788500000005E-7</v>
      </c>
      <c r="Q94">
        <v>900</v>
      </c>
      <c r="R94">
        <v>8.8746933379999993E-6</v>
      </c>
      <c r="V94">
        <v>900</v>
      </c>
      <c r="W94">
        <v>0.46688309284720703</v>
      </c>
      <c r="AE94">
        <v>0.68931234809999997</v>
      </c>
    </row>
    <row r="95" spans="3:31" x14ac:dyDescent="0.2">
      <c r="C95">
        <v>910</v>
      </c>
      <c r="D95">
        <v>9.9292689950000002E-6</v>
      </c>
      <c r="I95">
        <v>910</v>
      </c>
      <c r="J95">
        <v>9.8075873400000002E-7</v>
      </c>
      <c r="Q95">
        <v>910</v>
      </c>
      <c r="R95">
        <v>8.8626911450000002E-6</v>
      </c>
      <c r="V95">
        <v>910</v>
      </c>
      <c r="W95">
        <v>0.46659503780700001</v>
      </c>
      <c r="AE95">
        <v>0.68126457689999997</v>
      </c>
    </row>
    <row r="96" spans="3:31" x14ac:dyDescent="0.2">
      <c r="C96">
        <v>920</v>
      </c>
      <c r="D96">
        <v>9.9090172369999992E-6</v>
      </c>
      <c r="I96">
        <v>920</v>
      </c>
      <c r="J96">
        <v>9.5606722900000007E-7</v>
      </c>
      <c r="Q96">
        <v>920</v>
      </c>
      <c r="R96">
        <v>8.8529743079999993E-6</v>
      </c>
      <c r="V96">
        <v>920</v>
      </c>
      <c r="W96">
        <v>0.46638540653791999</v>
      </c>
      <c r="AE96">
        <v>0.67266335899999996</v>
      </c>
    </row>
    <row r="97" spans="3:31" x14ac:dyDescent="0.2">
      <c r="C97">
        <v>930</v>
      </c>
      <c r="D97">
        <v>9.8859904520000004E-6</v>
      </c>
      <c r="I97">
        <v>930</v>
      </c>
      <c r="J97">
        <v>9.3148056500000001E-7</v>
      </c>
      <c r="Q97">
        <v>930</v>
      </c>
      <c r="R97">
        <v>8.8375229680000008E-6</v>
      </c>
      <c r="V97">
        <v>930</v>
      </c>
      <c r="W97">
        <v>0.46605357315180201</v>
      </c>
      <c r="AE97">
        <v>0.66354960910000005</v>
      </c>
    </row>
    <row r="98" spans="3:31" x14ac:dyDescent="0.2">
      <c r="C98">
        <v>940</v>
      </c>
      <c r="D98">
        <v>9.8620548000000003E-6</v>
      </c>
      <c r="I98">
        <v>940</v>
      </c>
      <c r="J98">
        <v>9.1412734799999996E-7</v>
      </c>
      <c r="Q98">
        <v>940</v>
      </c>
      <c r="R98">
        <v>8.8265463829999995E-6</v>
      </c>
      <c r="V98">
        <v>940</v>
      </c>
      <c r="W98">
        <v>0.46568717924099701</v>
      </c>
      <c r="AE98">
        <v>0.653966347</v>
      </c>
    </row>
    <row r="99" spans="3:31" x14ac:dyDescent="0.2">
      <c r="C99">
        <v>950</v>
      </c>
      <c r="D99">
        <v>9.8393228480000007E-6</v>
      </c>
      <c r="I99">
        <v>950</v>
      </c>
      <c r="J99">
        <v>8.9912196200000004E-7</v>
      </c>
      <c r="Q99">
        <v>950</v>
      </c>
      <c r="R99">
        <v>8.8123255740000001E-6</v>
      </c>
      <c r="V99">
        <v>950</v>
      </c>
      <c r="W99">
        <v>0.46538455668180601</v>
      </c>
      <c r="AE99">
        <v>0.64395887890000003</v>
      </c>
    </row>
    <row r="100" spans="3:31" x14ac:dyDescent="0.2">
      <c r="C100">
        <v>960</v>
      </c>
      <c r="D100">
        <v>9.8173551950000004E-6</v>
      </c>
      <c r="I100">
        <v>960</v>
      </c>
      <c r="J100">
        <v>8.8088697299999997E-7</v>
      </c>
      <c r="Q100">
        <v>960</v>
      </c>
      <c r="R100">
        <v>8.7988205360000003E-6</v>
      </c>
      <c r="V100">
        <v>960</v>
      </c>
      <c r="W100">
        <v>0.46512119039067501</v>
      </c>
      <c r="AE100">
        <v>0.63357515799999997</v>
      </c>
    </row>
    <row r="101" spans="3:31" x14ac:dyDescent="0.2">
      <c r="C101">
        <v>970</v>
      </c>
      <c r="D101">
        <v>9.7949037539999999E-6</v>
      </c>
      <c r="I101">
        <v>970</v>
      </c>
      <c r="J101">
        <v>8.5905726600000005E-7</v>
      </c>
      <c r="Q101">
        <v>970</v>
      </c>
      <c r="R101">
        <v>8.7841559419999993E-6</v>
      </c>
      <c r="V101">
        <v>970</v>
      </c>
      <c r="W101">
        <v>0.46485059182468602</v>
      </c>
      <c r="AE101">
        <v>0.62286638949999995</v>
      </c>
    </row>
    <row r="102" spans="3:31" x14ac:dyDescent="0.2">
      <c r="C102">
        <v>980</v>
      </c>
      <c r="D102">
        <v>9.7705872449999995E-6</v>
      </c>
      <c r="I102">
        <v>980</v>
      </c>
      <c r="J102">
        <v>8.3739010600000002E-7</v>
      </c>
      <c r="Q102">
        <v>980</v>
      </c>
      <c r="R102">
        <v>8.7717788830000002E-6</v>
      </c>
      <c r="V102">
        <v>980</v>
      </c>
      <c r="W102">
        <v>0.46449943242875102</v>
      </c>
      <c r="AE102">
        <v>0.61188782070000003</v>
      </c>
    </row>
    <row r="103" spans="3:31" x14ac:dyDescent="0.2">
      <c r="C103">
        <v>990</v>
      </c>
      <c r="D103">
        <v>9.7454808180000006E-6</v>
      </c>
      <c r="I103">
        <v>990</v>
      </c>
      <c r="J103">
        <v>8.1989994099999997E-7</v>
      </c>
      <c r="Q103">
        <v>990</v>
      </c>
      <c r="R103">
        <v>8.7597392640000003E-6</v>
      </c>
      <c r="V103">
        <v>990</v>
      </c>
      <c r="W103">
        <v>0.46411502226075502</v>
      </c>
      <c r="AE103">
        <v>0.60069949759999997</v>
      </c>
    </row>
    <row r="104" spans="3:31" x14ac:dyDescent="0.2">
      <c r="AE104">
        <v>0.58936656649999997</v>
      </c>
    </row>
    <row r="105" spans="3:31" x14ac:dyDescent="0.2">
      <c r="AE105">
        <v>0.57795847450000004</v>
      </c>
    </row>
    <row r="106" spans="3:31" x14ac:dyDescent="0.2">
      <c r="AE106">
        <v>0.56654617809999996</v>
      </c>
    </row>
    <row r="107" spans="3:31" x14ac:dyDescent="0.2">
      <c r="AE107">
        <v>0.55519624180000005</v>
      </c>
    </row>
    <row r="108" spans="3:31" x14ac:dyDescent="0.2">
      <c r="AE108">
        <v>0.54396050640000004</v>
      </c>
    </row>
    <row r="109" spans="3:31" x14ac:dyDescent="0.2">
      <c r="AE109">
        <v>0.53285984450000001</v>
      </c>
    </row>
    <row r="110" spans="3:31" x14ac:dyDescent="0.2">
      <c r="AE110">
        <v>0.52186036069999997</v>
      </c>
    </row>
    <row r="111" spans="3:31" x14ac:dyDescent="0.2">
      <c r="AE111">
        <v>0.51084010749999997</v>
      </c>
    </row>
    <row r="112" spans="3:31" x14ac:dyDescent="0.2">
      <c r="AE112">
        <v>0.49954368119999998</v>
      </c>
    </row>
    <row r="113" spans="31:31" x14ac:dyDescent="0.2">
      <c r="AE113">
        <v>0.48752026329999998</v>
      </c>
    </row>
    <row r="114" spans="31:31" x14ac:dyDescent="0.2">
      <c r="AE114">
        <v>0.47403638209999999</v>
      </c>
    </row>
    <row r="115" spans="31:31" x14ac:dyDescent="0.2">
      <c r="AE115">
        <v>0.45794495079999997</v>
      </c>
    </row>
    <row r="116" spans="31:31" x14ac:dyDescent="0.2">
      <c r="AE116">
        <v>0.43747079319999999</v>
      </c>
    </row>
    <row r="117" spans="31:31" x14ac:dyDescent="0.2">
      <c r="AE117">
        <v>0.40982688210000001</v>
      </c>
    </row>
    <row r="118" spans="31:31" x14ac:dyDescent="0.2">
      <c r="AE118">
        <v>0.37048118930000001</v>
      </c>
    </row>
    <row r="119" spans="31:31" x14ac:dyDescent="0.2">
      <c r="AE119">
        <v>0.31174856699999998</v>
      </c>
    </row>
    <row r="120" spans="31:31" x14ac:dyDescent="0.2">
      <c r="AE120">
        <v>0.22065232940000001</v>
      </c>
    </row>
    <row r="121" spans="31:31" x14ac:dyDescent="0.2">
      <c r="AE121">
        <v>8.1812829099999998E-2</v>
      </c>
    </row>
    <row r="122" spans="31:31" x14ac:dyDescent="0.2">
      <c r="AE122">
        <v>-7.1225941700000003E-2</v>
      </c>
    </row>
    <row r="123" spans="31:31" x14ac:dyDescent="0.2">
      <c r="AE123">
        <v>0.72674301100000005</v>
      </c>
    </row>
    <row r="124" spans="31:31" x14ac:dyDescent="0.2">
      <c r="AE124">
        <v>0.72404925630000005</v>
      </c>
    </row>
    <row r="125" spans="31:31" x14ac:dyDescent="0.2">
      <c r="AE125">
        <v>0.72071529030000003</v>
      </c>
    </row>
    <row r="126" spans="31:31" x14ac:dyDescent="0.2">
      <c r="AE126">
        <v>0.71660716059999996</v>
      </c>
    </row>
    <row r="127" spans="31:31" x14ac:dyDescent="0.2">
      <c r="AE127">
        <v>0.7117039973</v>
      </c>
    </row>
    <row r="128" spans="31:31" x14ac:dyDescent="0.2">
      <c r="AE128">
        <v>0.70602657449999995</v>
      </c>
    </row>
    <row r="129" spans="31:31" x14ac:dyDescent="0.2">
      <c r="AE129">
        <v>0.69960953059999997</v>
      </c>
    </row>
    <row r="130" spans="31:31" x14ac:dyDescent="0.2">
      <c r="AE130">
        <v>0.69249200389999999</v>
      </c>
    </row>
    <row r="131" spans="31:31" x14ac:dyDescent="0.2">
      <c r="AE131">
        <v>0.68471494710000003</v>
      </c>
    </row>
    <row r="132" spans="31:31" x14ac:dyDescent="0.2">
      <c r="AE132">
        <v>0.67632059830000002</v>
      </c>
    </row>
    <row r="133" spans="31:31" x14ac:dyDescent="0.2">
      <c r="AE133">
        <v>0.6673525334</v>
      </c>
    </row>
    <row r="134" spans="31:31" x14ac:dyDescent="0.2">
      <c r="AE134">
        <v>0.65785584870000002</v>
      </c>
    </row>
    <row r="135" spans="31:31" x14ac:dyDescent="0.2">
      <c r="AE135">
        <v>0.64787742400000004</v>
      </c>
    </row>
    <row r="136" spans="31:31" x14ac:dyDescent="0.2">
      <c r="AE136">
        <v>0.63746634369999999</v>
      </c>
    </row>
    <row r="137" spans="31:31" x14ac:dyDescent="0.2">
      <c r="AE137">
        <v>0.62667454190000005</v>
      </c>
    </row>
    <row r="138" spans="31:31" x14ac:dyDescent="0.2">
      <c r="AE138">
        <v>0.61555766379999999</v>
      </c>
    </row>
    <row r="139" spans="31:31" x14ac:dyDescent="0.2">
      <c r="AE139">
        <v>0.60417599749999995</v>
      </c>
    </row>
    <row r="140" spans="31:31" x14ac:dyDescent="0.2">
      <c r="AE140">
        <v>0.59259515529999995</v>
      </c>
    </row>
    <row r="141" spans="31:31" x14ac:dyDescent="0.2">
      <c r="AE141">
        <v>0.58088596640000001</v>
      </c>
    </row>
    <row r="142" spans="31:31" x14ac:dyDescent="0.2">
      <c r="AE142">
        <v>0.56912280739999999</v>
      </c>
    </row>
    <row r="143" spans="31:31" x14ac:dyDescent="0.2">
      <c r="AE143">
        <v>0.55737936109999997</v>
      </c>
    </row>
    <row r="144" spans="31:31" x14ac:dyDescent="0.2">
      <c r="AE144">
        <v>0.54572058320000005</v>
      </c>
    </row>
    <row r="145" spans="31:31" x14ac:dyDescent="0.2">
      <c r="AE145">
        <v>0.53418948769999997</v>
      </c>
    </row>
    <row r="146" spans="31:31" x14ac:dyDescent="0.2">
      <c r="AE146">
        <v>0.5227872174</v>
      </c>
    </row>
    <row r="147" spans="31:31" x14ac:dyDescent="0.2">
      <c r="AE147">
        <v>0.51144468180000002</v>
      </c>
    </row>
    <row r="148" spans="31:31" x14ac:dyDescent="0.2">
      <c r="AE148">
        <v>0.49998361359999999</v>
      </c>
    </row>
    <row r="149" spans="31:31" x14ac:dyDescent="0.2">
      <c r="AE149">
        <v>0.48806377519999999</v>
      </c>
    </row>
    <row r="150" spans="31:31" x14ac:dyDescent="0.2">
      <c r="AE150">
        <v>0.47511029300000002</v>
      </c>
    </row>
    <row r="151" spans="31:31" x14ac:dyDescent="0.2">
      <c r="AE151">
        <v>0.46020877449999997</v>
      </c>
    </row>
    <row r="152" spans="31:31" x14ac:dyDescent="0.2">
      <c r="AE152">
        <v>0.44194199249999999</v>
      </c>
    </row>
    <row r="153" spans="31:31" x14ac:dyDescent="0.2">
      <c r="AE153">
        <v>0.41811245190000002</v>
      </c>
    </row>
    <row r="154" spans="31:31" x14ac:dyDescent="0.2">
      <c r="AE154">
        <v>0.38523535139999998</v>
      </c>
    </row>
    <row r="155" spans="31:31" x14ac:dyDescent="0.2">
      <c r="AE155">
        <v>0.33758616679999998</v>
      </c>
    </row>
    <row r="156" spans="31:31" x14ac:dyDescent="0.2">
      <c r="AE156">
        <v>0.26560845779999998</v>
      </c>
    </row>
    <row r="157" spans="31:31" x14ac:dyDescent="0.2">
      <c r="AE157">
        <v>0.15548816839999999</v>
      </c>
    </row>
    <row r="158" spans="31:31" x14ac:dyDescent="0.2">
      <c r="AE158">
        <v>8.2279021999999997E-3</v>
      </c>
    </row>
    <row r="159" spans="31:31" x14ac:dyDescent="0.2">
      <c r="AE159">
        <v>-7.8909393600000002E-2</v>
      </c>
    </row>
    <row r="160" spans="31:31" x14ac:dyDescent="0.2">
      <c r="AE160">
        <v>0.72093434769999998</v>
      </c>
    </row>
    <row r="161" spans="31:31" x14ac:dyDescent="0.2">
      <c r="AE161">
        <v>0.71728422410000003</v>
      </c>
    </row>
    <row r="162" spans="31:31" x14ac:dyDescent="0.2">
      <c r="AE162">
        <v>0.71292473089999997</v>
      </c>
    </row>
    <row r="163" spans="31:31" x14ac:dyDescent="0.2">
      <c r="AE163">
        <v>0.70778561279999996</v>
      </c>
    </row>
    <row r="164" spans="31:31" x14ac:dyDescent="0.2">
      <c r="AE164">
        <v>0.7018558158</v>
      </c>
    </row>
    <row r="165" spans="31:31" x14ac:dyDescent="0.2">
      <c r="AE165">
        <v>0.69515409650000004</v>
      </c>
    </row>
    <row r="166" spans="31:31" x14ac:dyDescent="0.2">
      <c r="AE166">
        <v>0.68771372099999994</v>
      </c>
    </row>
    <row r="167" spans="31:31" x14ac:dyDescent="0.2">
      <c r="AE167">
        <v>0.67957521109999997</v>
      </c>
    </row>
    <row r="168" spans="31:31" x14ac:dyDescent="0.2">
      <c r="AE168">
        <v>0.67078306610000005</v>
      </c>
    </row>
    <row r="169" spans="31:31" x14ac:dyDescent="0.2">
      <c r="AE169">
        <v>0.66138436060000005</v>
      </c>
    </row>
    <row r="170" spans="31:31" x14ac:dyDescent="0.2">
      <c r="AE170">
        <v>0.65142826590000003</v>
      </c>
    </row>
    <row r="171" spans="31:31" x14ac:dyDescent="0.2">
      <c r="AE171">
        <v>0.64096611670000003</v>
      </c>
    </row>
    <row r="172" spans="31:31" x14ac:dyDescent="0.2">
      <c r="AE172">
        <v>0.63005188860000005</v>
      </c>
    </row>
    <row r="173" spans="31:31" x14ac:dyDescent="0.2">
      <c r="AE173">
        <v>0.6187430062</v>
      </c>
    </row>
    <row r="174" spans="31:31" x14ac:dyDescent="0.2">
      <c r="AE174">
        <v>0.60710134819999995</v>
      </c>
    </row>
    <row r="175" spans="31:31" x14ac:dyDescent="0.2">
      <c r="AE175">
        <v>0.59519418459999995</v>
      </c>
    </row>
    <row r="176" spans="31:31" x14ac:dyDescent="0.2">
      <c r="AE176">
        <v>0.5830945931</v>
      </c>
    </row>
    <row r="177" spans="31:31" x14ac:dyDescent="0.2">
      <c r="AE177">
        <v>0.57088068270000003</v>
      </c>
    </row>
    <row r="178" spans="31:31" x14ac:dyDescent="0.2">
      <c r="AE178">
        <v>0.55863271950000004</v>
      </c>
    </row>
    <row r="179" spans="31:31" x14ac:dyDescent="0.2">
      <c r="AE179">
        <v>0.54642703579999996</v>
      </c>
    </row>
    <row r="180" spans="31:31" x14ac:dyDescent="0.2">
      <c r="AE180">
        <v>0.53432542289999996</v>
      </c>
    </row>
    <row r="181" spans="31:31" x14ac:dyDescent="0.2">
      <c r="AE181">
        <v>0.52235857360000004</v>
      </c>
    </row>
    <row r="182" spans="31:31" x14ac:dyDescent="0.2">
      <c r="AE182">
        <v>0.5105020092</v>
      </c>
    </row>
    <row r="183" spans="31:31" x14ac:dyDescent="0.2">
      <c r="AE183">
        <v>0.49864266820000003</v>
      </c>
    </row>
    <row r="184" spans="31:31" x14ac:dyDescent="0.2">
      <c r="AE184">
        <v>0.48653365139999999</v>
      </c>
    </row>
    <row r="185" spans="31:31" x14ac:dyDescent="0.2">
      <c r="AE185">
        <v>0.473732873</v>
      </c>
    </row>
    <row r="186" spans="31:31" x14ac:dyDescent="0.2">
      <c r="AE186">
        <v>0.45951726069999999</v>
      </c>
    </row>
    <row r="187" spans="31:31" x14ac:dyDescent="0.2">
      <c r="AE187">
        <v>0.44275511090000003</v>
      </c>
    </row>
    <row r="188" spans="31:31" x14ac:dyDescent="0.2">
      <c r="AE188">
        <v>0.42170016710000002</v>
      </c>
    </row>
    <row r="189" spans="31:31" x14ac:dyDescent="0.2">
      <c r="AE189">
        <v>0.39363280890000002</v>
      </c>
    </row>
    <row r="190" spans="31:31" x14ac:dyDescent="0.2">
      <c r="AE190">
        <v>0.35420711970000002</v>
      </c>
    </row>
    <row r="191" spans="31:31" x14ac:dyDescent="0.2">
      <c r="AE191">
        <v>0.29632259979999998</v>
      </c>
    </row>
    <row r="192" spans="31:31" x14ac:dyDescent="0.2">
      <c r="AE192">
        <v>0.20900228060000001</v>
      </c>
    </row>
    <row r="193" spans="31:31" x14ac:dyDescent="0.2">
      <c r="AE193">
        <v>8.3128866900000001E-2</v>
      </c>
    </row>
    <row r="194" spans="31:31" x14ac:dyDescent="0.2">
      <c r="AE194">
        <v>-4.3428113400000003E-2</v>
      </c>
    </row>
    <row r="195" spans="31:31" x14ac:dyDescent="0.2">
      <c r="AE195">
        <v>0.713340211</v>
      </c>
    </row>
    <row r="196" spans="31:31" x14ac:dyDescent="0.2">
      <c r="AE196">
        <v>0.7087176369</v>
      </c>
    </row>
    <row r="197" spans="31:31" x14ac:dyDescent="0.2">
      <c r="AE197">
        <v>0.70332280179999995</v>
      </c>
    </row>
    <row r="198" spans="31:31" x14ac:dyDescent="0.2">
      <c r="AE198">
        <v>0.69711927910000004</v>
      </c>
    </row>
    <row r="199" spans="31:31" x14ac:dyDescent="0.2">
      <c r="AE199">
        <v>0.69010796090000004</v>
      </c>
    </row>
    <row r="200" spans="31:31" x14ac:dyDescent="0.2">
      <c r="AE200">
        <v>0.68231224489999998</v>
      </c>
    </row>
    <row r="201" spans="31:31" x14ac:dyDescent="0.2">
      <c r="AE201">
        <v>0.67376879690000002</v>
      </c>
    </row>
    <row r="202" spans="31:31" x14ac:dyDescent="0.2">
      <c r="AE202">
        <v>0.66452223420000001</v>
      </c>
    </row>
    <row r="203" spans="31:31" x14ac:dyDescent="0.2">
      <c r="AE203">
        <v>0.65462225939999996</v>
      </c>
    </row>
    <row r="204" spans="31:31" x14ac:dyDescent="0.2">
      <c r="AE204">
        <v>0.6441223116</v>
      </c>
    </row>
    <row r="205" spans="31:31" x14ac:dyDescent="0.2">
      <c r="AE205">
        <v>0.63307921040000004</v>
      </c>
    </row>
    <row r="206" spans="31:31" x14ac:dyDescent="0.2">
      <c r="AE206">
        <v>0.62155349309999997</v>
      </c>
    </row>
    <row r="207" spans="31:31" x14ac:dyDescent="0.2">
      <c r="AE207">
        <v>0.60961020909999997</v>
      </c>
    </row>
    <row r="208" spans="31:31" x14ac:dyDescent="0.2">
      <c r="AE208">
        <v>0.59731988469999997</v>
      </c>
    </row>
    <row r="209" spans="31:31" x14ac:dyDescent="0.2">
      <c r="AE209">
        <v>0.58475924379999999</v>
      </c>
    </row>
    <row r="210" spans="31:31" x14ac:dyDescent="0.2">
      <c r="AE210">
        <v>0.57201107900000003</v>
      </c>
    </row>
    <row r="211" spans="31:31" x14ac:dyDescent="0.2">
      <c r="AE211">
        <v>0.55916245549999999</v>
      </c>
    </row>
    <row r="212" spans="31:31" x14ac:dyDescent="0.2">
      <c r="AE212">
        <v>0.54630021890000002</v>
      </c>
    </row>
    <row r="213" spans="31:31" x14ac:dyDescent="0.2">
      <c r="AE213">
        <v>0.53350259420000001</v>
      </c>
    </row>
    <row r="214" spans="31:31" x14ac:dyDescent="0.2">
      <c r="AE214">
        <v>0.52082553300000001</v>
      </c>
    </row>
    <row r="215" spans="31:31" x14ac:dyDescent="0.2">
      <c r="AE215">
        <v>0.5082823621</v>
      </c>
    </row>
    <row r="216" spans="31:31" x14ac:dyDescent="0.2">
      <c r="AE216">
        <v>0.49581513729999999</v>
      </c>
    </row>
    <row r="217" spans="31:31" x14ac:dyDescent="0.2">
      <c r="AE217">
        <v>0.48325570559999997</v>
      </c>
    </row>
    <row r="218" spans="31:31" x14ac:dyDescent="0.2">
      <c r="AE218">
        <v>0.47027338489999998</v>
      </c>
    </row>
    <row r="219" spans="31:31" x14ac:dyDescent="0.2">
      <c r="AE219">
        <v>0.45630351009999998</v>
      </c>
    </row>
    <row r="220" spans="31:31" x14ac:dyDescent="0.2">
      <c r="AE220">
        <v>0.44044516490000002</v>
      </c>
    </row>
    <row r="221" spans="31:31" x14ac:dyDescent="0.2">
      <c r="AE221">
        <v>0.42130396889999999</v>
      </c>
    </row>
    <row r="222" spans="31:31" x14ac:dyDescent="0.2">
      <c r="AE222">
        <v>0.39673104120000002</v>
      </c>
    </row>
    <row r="223" spans="31:31" x14ac:dyDescent="0.2">
      <c r="AE223">
        <v>0.36336511430000001</v>
      </c>
    </row>
    <row r="224" spans="31:31" x14ac:dyDescent="0.2">
      <c r="AE224">
        <v>0.31583820219999997</v>
      </c>
    </row>
    <row r="225" spans="31:31" x14ac:dyDescent="0.2">
      <c r="AE225">
        <v>0.2457065923</v>
      </c>
    </row>
    <row r="226" spans="31:31" x14ac:dyDescent="0.2">
      <c r="AE226">
        <v>0.14251622990000001</v>
      </c>
    </row>
    <row r="227" spans="31:31" x14ac:dyDescent="0.2">
      <c r="AE227">
        <v>1.2825459000000001E-2</v>
      </c>
    </row>
    <row r="228" spans="31:31" x14ac:dyDescent="0.2">
      <c r="AE228">
        <v>-6.0036112500000002E-2</v>
      </c>
    </row>
    <row r="229" spans="31:31" x14ac:dyDescent="0.2">
      <c r="AE229">
        <v>0.70383646290000001</v>
      </c>
    </row>
    <row r="230" spans="31:31" x14ac:dyDescent="0.2">
      <c r="AE230">
        <v>0.69817704459999996</v>
      </c>
    </row>
    <row r="231" spans="31:31" x14ac:dyDescent="0.2">
      <c r="AE231">
        <v>0.69168366000000003</v>
      </c>
    </row>
    <row r="232" spans="31:31" x14ac:dyDescent="0.2">
      <c r="AE232">
        <v>0.68433947770000003</v>
      </c>
    </row>
    <row r="233" spans="31:31" x14ac:dyDescent="0.2">
      <c r="AE233">
        <v>0.67615551630000004</v>
      </c>
    </row>
    <row r="234" spans="31:31" x14ac:dyDescent="0.2">
      <c r="AE234">
        <v>0.66716175259999999</v>
      </c>
    </row>
    <row r="235" spans="31:31" x14ac:dyDescent="0.2">
      <c r="AE235">
        <v>0.65740090650000005</v>
      </c>
    </row>
    <row r="236" spans="31:31" x14ac:dyDescent="0.2">
      <c r="AE236">
        <v>0.64692449080000003</v>
      </c>
    </row>
    <row r="237" spans="31:31" x14ac:dyDescent="0.2">
      <c r="AE237">
        <v>0.63579059270000005</v>
      </c>
    </row>
    <row r="238" spans="31:31" x14ac:dyDescent="0.2">
      <c r="AE238">
        <v>0.62406293609999997</v>
      </c>
    </row>
    <row r="239" spans="31:31" x14ac:dyDescent="0.2">
      <c r="AE239">
        <v>0.61181085899999998</v>
      </c>
    </row>
    <row r="240" spans="31:31" x14ac:dyDescent="0.2">
      <c r="AE240">
        <v>0.59910984069999995</v>
      </c>
    </row>
    <row r="241" spans="31:31" x14ac:dyDescent="0.2">
      <c r="AE241">
        <v>0.58604213910000003</v>
      </c>
    </row>
    <row r="242" spans="31:31" x14ac:dyDescent="0.2">
      <c r="AE242">
        <v>0.57269695369999996</v>
      </c>
    </row>
    <row r="243" spans="31:31" x14ac:dyDescent="0.2">
      <c r="AE243">
        <v>0.55916934939999996</v>
      </c>
    </row>
    <row r="244" spans="31:31" x14ac:dyDescent="0.2">
      <c r="AE244">
        <v>0.54555697670000003</v>
      </c>
    </row>
    <row r="245" spans="31:31" x14ac:dyDescent="0.2">
      <c r="AE245">
        <v>0.5319534521</v>
      </c>
    </row>
    <row r="246" spans="31:31" x14ac:dyDescent="0.2">
      <c r="AE246">
        <v>0.51843713420000004</v>
      </c>
    </row>
    <row r="247" spans="31:31" x14ac:dyDescent="0.2">
      <c r="AE247">
        <v>0.50505394599999998</v>
      </c>
    </row>
    <row r="248" spans="31:31" x14ac:dyDescent="0.2">
      <c r="AE248">
        <v>0.49179281699999999</v>
      </c>
    </row>
    <row r="249" spans="31:31" x14ac:dyDescent="0.2">
      <c r="AE249">
        <v>0.47855209589999997</v>
      </c>
    </row>
    <row r="250" spans="31:31" x14ac:dyDescent="0.2">
      <c r="AE250">
        <v>0.46509461699999999</v>
      </c>
    </row>
    <row r="251" spans="31:31" x14ac:dyDescent="0.2">
      <c r="AE251">
        <v>0.45098738640000002</v>
      </c>
    </row>
    <row r="252" spans="31:31" x14ac:dyDescent="0.2">
      <c r="AE252">
        <v>0.43551792750000001</v>
      </c>
    </row>
    <row r="253" spans="31:31" x14ac:dyDescent="0.2">
      <c r="AE253">
        <v>0.4175710789</v>
      </c>
    </row>
    <row r="254" spans="31:31" x14ac:dyDescent="0.2">
      <c r="AE254">
        <v>0.39543374310000001</v>
      </c>
    </row>
    <row r="255" spans="31:31" x14ac:dyDescent="0.2">
      <c r="AE255">
        <v>0.3664657254</v>
      </c>
    </row>
    <row r="256" spans="31:31" x14ac:dyDescent="0.2">
      <c r="AE256">
        <v>0.32653635460000002</v>
      </c>
    </row>
    <row r="257" spans="31:31" x14ac:dyDescent="0.2">
      <c r="AE257">
        <v>0.26917434369999999</v>
      </c>
    </row>
    <row r="258" spans="31:31" x14ac:dyDescent="0.2">
      <c r="AE258">
        <v>0.18524066459999999</v>
      </c>
    </row>
    <row r="259" spans="31:31" x14ac:dyDescent="0.2">
      <c r="AE259">
        <v>6.9688912399999997E-2</v>
      </c>
    </row>
    <row r="260" spans="31:31" x14ac:dyDescent="0.2">
      <c r="AE260">
        <v>-4.0904634000000002E-2</v>
      </c>
    </row>
    <row r="261" spans="31:31" x14ac:dyDescent="0.2">
      <c r="AE261">
        <v>0.69223752419999995</v>
      </c>
    </row>
    <row r="262" spans="31:31" x14ac:dyDescent="0.2">
      <c r="AE262">
        <v>0.6854323162</v>
      </c>
    </row>
    <row r="263" spans="31:31" x14ac:dyDescent="0.2">
      <c r="AE263">
        <v>0.67772677599999998</v>
      </c>
    </row>
    <row r="264" spans="31:31" x14ac:dyDescent="0.2">
      <c r="AE264">
        <v>0.66911721729999996</v>
      </c>
    </row>
    <row r="265" spans="31:31" x14ac:dyDescent="0.2">
      <c r="AE265">
        <v>0.65962395669999996</v>
      </c>
    </row>
    <row r="266" spans="31:31" x14ac:dyDescent="0.2">
      <c r="AE266">
        <v>0.64928539320000001</v>
      </c>
    </row>
    <row r="267" spans="31:31" x14ac:dyDescent="0.2">
      <c r="AE267">
        <v>0.63815361520000002</v>
      </c>
    </row>
    <row r="268" spans="31:31" x14ac:dyDescent="0.2">
      <c r="AE268">
        <v>0.62629152170000002</v>
      </c>
    </row>
    <row r="269" spans="31:31" x14ac:dyDescent="0.2">
      <c r="AE269">
        <v>0.61377123990000004</v>
      </c>
    </row>
    <row r="270" spans="31:31" x14ac:dyDescent="0.2">
      <c r="AE270">
        <v>0.6006735111</v>
      </c>
    </row>
    <row r="271" spans="31:31" x14ac:dyDescent="0.2">
      <c r="AE271">
        <v>0.58708761200000004</v>
      </c>
    </row>
    <row r="272" spans="31:31" x14ac:dyDescent="0.2">
      <c r="AE272">
        <v>0.57311123460000002</v>
      </c>
    </row>
    <row r="273" spans="31:31" x14ac:dyDescent="0.2">
      <c r="AE273">
        <v>0.5588495872</v>
      </c>
    </row>
    <row r="274" spans="31:31" x14ac:dyDescent="0.2">
      <c r="AE274">
        <v>0.54441279340000004</v>
      </c>
    </row>
    <row r="275" spans="31:31" x14ac:dyDescent="0.2">
      <c r="AE275">
        <v>0.5299105073</v>
      </c>
    </row>
    <row r="276" spans="31:31" x14ac:dyDescent="0.2">
      <c r="AE276">
        <v>0.51544254479999996</v>
      </c>
    </row>
    <row r="277" spans="31:31" x14ac:dyDescent="0.2">
      <c r="AE277">
        <v>0.5010842673</v>
      </c>
    </row>
    <row r="278" spans="31:31" x14ac:dyDescent="0.2">
      <c r="AE278">
        <v>0.4868654241</v>
      </c>
    </row>
    <row r="279" spans="31:31" x14ac:dyDescent="0.2">
      <c r="AE279">
        <v>0.47274106249999998</v>
      </c>
    </row>
    <row r="280" spans="31:31" x14ac:dyDescent="0.2">
      <c r="AE280">
        <v>0.45855272870000002</v>
      </c>
    </row>
    <row r="281" spans="31:31" x14ac:dyDescent="0.2">
      <c r="AE281">
        <v>0.44397707870000003</v>
      </c>
    </row>
    <row r="282" spans="31:31" x14ac:dyDescent="0.2">
      <c r="AE282">
        <v>0.4284563998</v>
      </c>
    </row>
    <row r="283" spans="31:31" x14ac:dyDescent="0.2">
      <c r="AE283">
        <v>0.41110000079999998</v>
      </c>
    </row>
    <row r="284" spans="31:31" x14ac:dyDescent="0.2">
      <c r="AE284">
        <v>0.39053454990000003</v>
      </c>
    </row>
    <row r="285" spans="31:31" x14ac:dyDescent="0.2">
      <c r="AE285">
        <v>0.36466184280000002</v>
      </c>
    </row>
    <row r="286" spans="31:31" x14ac:dyDescent="0.2">
      <c r="AE286">
        <v>0.33025424780000001</v>
      </c>
    </row>
    <row r="287" spans="31:31" x14ac:dyDescent="0.2">
      <c r="AE287">
        <v>0.28231916499999998</v>
      </c>
    </row>
    <row r="288" spans="31:31" x14ac:dyDescent="0.2">
      <c r="AE288">
        <v>0.21348662739999999</v>
      </c>
    </row>
    <row r="289" spans="31:31" x14ac:dyDescent="0.2">
      <c r="AE289">
        <v>0.116029733</v>
      </c>
    </row>
    <row r="290" spans="31:31" x14ac:dyDescent="0.2">
      <c r="AE290">
        <v>-4.4632169999999998E-4</v>
      </c>
    </row>
    <row r="291" spans="31:31" x14ac:dyDescent="0.2">
      <c r="AE291">
        <v>-6.3455226500000003E-2</v>
      </c>
    </row>
    <row r="292" spans="31:31" x14ac:dyDescent="0.2">
      <c r="AE292">
        <v>0.67827896610000005</v>
      </c>
    </row>
    <row r="293" spans="31:31" x14ac:dyDescent="0.2">
      <c r="AE293">
        <v>0.67017125320000004</v>
      </c>
    </row>
    <row r="294" spans="31:31" x14ac:dyDescent="0.2">
      <c r="AE294">
        <v>0.66108889859999997</v>
      </c>
    </row>
    <row r="295" spans="31:31" x14ac:dyDescent="0.2">
      <c r="AE295">
        <v>0.65103961300000002</v>
      </c>
    </row>
    <row r="296" spans="31:31" x14ac:dyDescent="0.2">
      <c r="AE296">
        <v>0.6400546037</v>
      </c>
    </row>
    <row r="297" spans="31:31" x14ac:dyDescent="0.2">
      <c r="AE297">
        <v>0.62818461690000005</v>
      </c>
    </row>
    <row r="298" spans="31:31" x14ac:dyDescent="0.2">
      <c r="AE298">
        <v>0.61549690319999995</v>
      </c>
    </row>
    <row r="299" spans="31:31" x14ac:dyDescent="0.2">
      <c r="AE299">
        <v>0.60207313630000003</v>
      </c>
    </row>
    <row r="300" spans="31:31" x14ac:dyDescent="0.2">
      <c r="AE300">
        <v>0.58800806240000003</v>
      </c>
    </row>
    <row r="301" spans="31:31" x14ac:dyDescent="0.2">
      <c r="AE301">
        <v>0.57340843009999998</v>
      </c>
    </row>
    <row r="302" spans="31:31" x14ac:dyDescent="0.2">
      <c r="AE302">
        <v>0.55839154170000005</v>
      </c>
    </row>
    <row r="303" spans="31:31" x14ac:dyDescent="0.2">
      <c r="AE303">
        <v>0.54308256880000005</v>
      </c>
    </row>
    <row r="304" spans="31:31" x14ac:dyDescent="0.2">
      <c r="AE304">
        <v>0.52760960970000004</v>
      </c>
    </row>
    <row r="305" spans="31:31" x14ac:dyDescent="0.2">
      <c r="AE305">
        <v>0.51209535660000005</v>
      </c>
    </row>
    <row r="306" spans="31:31" x14ac:dyDescent="0.2">
      <c r="AE306">
        <v>0.49664419589999997</v>
      </c>
    </row>
    <row r="307" spans="31:31" x14ac:dyDescent="0.2">
      <c r="AE307">
        <v>0.48132358050000001</v>
      </c>
    </row>
    <row r="308" spans="31:31" x14ac:dyDescent="0.2">
      <c r="AE308">
        <v>0.46613850280000002</v>
      </c>
    </row>
    <row r="309" spans="31:31" x14ac:dyDescent="0.2">
      <c r="AE309">
        <v>0.45099770560000002</v>
      </c>
    </row>
    <row r="310" spans="31:31" x14ac:dyDescent="0.2">
      <c r="AE310">
        <v>0.4356695679</v>
      </c>
    </row>
    <row r="311" spans="31:31" x14ac:dyDescent="0.2">
      <c r="AE311">
        <v>0.41972383470000002</v>
      </c>
    </row>
    <row r="312" spans="31:31" x14ac:dyDescent="0.2">
      <c r="AE312">
        <v>0.40245156609999999</v>
      </c>
    </row>
    <row r="313" spans="31:31" x14ac:dyDescent="0.2">
      <c r="AE313">
        <v>0.38274831339999998</v>
      </c>
    </row>
    <row r="314" spans="31:31" x14ac:dyDescent="0.2">
      <c r="AE314">
        <v>0.35893240170000001</v>
      </c>
    </row>
    <row r="315" spans="31:31" x14ac:dyDescent="0.2">
      <c r="AE315">
        <v>0.32845062889999999</v>
      </c>
    </row>
    <row r="316" spans="31:31" x14ac:dyDescent="0.2">
      <c r="AE316">
        <v>0.28741403380000002</v>
      </c>
    </row>
    <row r="317" spans="31:31" x14ac:dyDescent="0.2">
      <c r="AE317">
        <v>0.23003219999999999</v>
      </c>
    </row>
    <row r="318" spans="31:31" x14ac:dyDescent="0.2">
      <c r="AE318">
        <v>0.14899945270000001</v>
      </c>
    </row>
    <row r="319" spans="31:31" x14ac:dyDescent="0.2">
      <c r="AE319">
        <v>4.28810591E-2</v>
      </c>
    </row>
    <row r="320" spans="31:31" x14ac:dyDescent="0.2">
      <c r="AE320">
        <v>-5.3066062800000001E-2</v>
      </c>
    </row>
    <row r="321" spans="31:31" x14ac:dyDescent="0.2">
      <c r="AE321">
        <v>0.66160400139999997</v>
      </c>
    </row>
    <row r="322" spans="31:31" x14ac:dyDescent="0.2">
      <c r="AE322">
        <v>0.65198753970000001</v>
      </c>
    </row>
    <row r="323" spans="31:31" x14ac:dyDescent="0.2">
      <c r="AE323">
        <v>0.64131485570000002</v>
      </c>
    </row>
    <row r="324" spans="31:31" x14ac:dyDescent="0.2">
      <c r="AE324">
        <v>0.62960719980000002</v>
      </c>
    </row>
    <row r="325" spans="31:31" x14ac:dyDescent="0.2">
      <c r="AE325">
        <v>0.6169115503</v>
      </c>
    </row>
    <row r="326" spans="31:31" x14ac:dyDescent="0.2">
      <c r="AE326">
        <v>0.60329823950000006</v>
      </c>
    </row>
    <row r="327" spans="31:31" x14ac:dyDescent="0.2">
      <c r="AE327">
        <v>0.58885886970000001</v>
      </c>
    </row>
    <row r="328" spans="31:31" x14ac:dyDescent="0.2">
      <c r="AE328">
        <v>0.5737043302</v>
      </c>
    </row>
    <row r="329" spans="31:31" x14ac:dyDescent="0.2">
      <c r="AE329">
        <v>0.55796244370000003</v>
      </c>
    </row>
    <row r="330" spans="31:31" x14ac:dyDescent="0.2">
      <c r="AE330">
        <v>0.54177452589999997</v>
      </c>
    </row>
    <row r="331" spans="31:31" x14ac:dyDescent="0.2">
      <c r="AE331">
        <v>0.5252899566</v>
      </c>
    </row>
    <row r="332" spans="31:31" x14ac:dyDescent="0.2">
      <c r="AE332">
        <v>0.50865775300000005</v>
      </c>
    </row>
    <row r="333" spans="31:31" x14ac:dyDescent="0.2">
      <c r="AE333">
        <v>0.49201412169999997</v>
      </c>
    </row>
    <row r="334" spans="31:31" x14ac:dyDescent="0.2">
      <c r="AE334">
        <v>0.47546502460000001</v>
      </c>
    </row>
    <row r="335" spans="31:31" x14ac:dyDescent="0.2">
      <c r="AE335">
        <v>0.45906286619999997</v>
      </c>
    </row>
    <row r="336" spans="31:31" x14ac:dyDescent="0.2">
      <c r="AE336">
        <v>0.44277634910000002</v>
      </c>
    </row>
    <row r="337" spans="31:31" x14ac:dyDescent="0.2">
      <c r="AE337">
        <v>0.42645210249999999</v>
      </c>
    </row>
    <row r="338" spans="31:31" x14ac:dyDescent="0.2">
      <c r="AE338">
        <v>0.4097654483</v>
      </c>
    </row>
    <row r="339" spans="31:31" x14ac:dyDescent="0.2">
      <c r="AE339">
        <v>0.39215498980000002</v>
      </c>
    </row>
    <row r="340" spans="31:31" x14ac:dyDescent="0.2">
      <c r="AE340">
        <v>0.37273059660000002</v>
      </c>
    </row>
    <row r="341" spans="31:31" x14ac:dyDescent="0.2">
      <c r="AE341">
        <v>0.35013551269999998</v>
      </c>
    </row>
    <row r="342" spans="31:31" x14ac:dyDescent="0.2">
      <c r="AE342">
        <v>0.3223302153</v>
      </c>
    </row>
    <row r="343" spans="31:31" x14ac:dyDescent="0.2">
      <c r="AE343">
        <v>0.28625632880000002</v>
      </c>
    </row>
    <row r="344" spans="31:31" x14ac:dyDescent="0.2">
      <c r="AE344">
        <v>0.2373920497</v>
      </c>
    </row>
    <row r="345" spans="31:31" x14ac:dyDescent="0.2">
      <c r="AE345">
        <v>0.16964734149999999</v>
      </c>
    </row>
    <row r="346" spans="31:31" x14ac:dyDescent="0.2">
      <c r="AE346">
        <v>7.8322805999999995E-2</v>
      </c>
    </row>
    <row r="347" spans="31:31" x14ac:dyDescent="0.2">
      <c r="AE347">
        <v>-2.3807229900000001E-2</v>
      </c>
    </row>
    <row r="348" spans="31:31" x14ac:dyDescent="0.2">
      <c r="AE348">
        <v>-7.5893290500000002E-2</v>
      </c>
    </row>
    <row r="349" spans="31:31" x14ac:dyDescent="0.2">
      <c r="AE349">
        <v>0.6417596444</v>
      </c>
    </row>
    <row r="350" spans="31:31" x14ac:dyDescent="0.2">
      <c r="AE350">
        <v>0.63038301559999999</v>
      </c>
    </row>
    <row r="351" spans="31:31" x14ac:dyDescent="0.2">
      <c r="AE351">
        <v>0.61786715719999996</v>
      </c>
    </row>
    <row r="352" spans="31:31" x14ac:dyDescent="0.2">
      <c r="AE352">
        <v>0.60425295059999995</v>
      </c>
    </row>
    <row r="353" spans="31:31" x14ac:dyDescent="0.2">
      <c r="AE353">
        <v>0.58961190730000002</v>
      </c>
    </row>
    <row r="354" spans="31:31" x14ac:dyDescent="0.2">
      <c r="AE354">
        <v>0.57404494859999999</v>
      </c>
    </row>
    <row r="355" spans="31:31" x14ac:dyDescent="0.2">
      <c r="AE355">
        <v>0.55768031949999997</v>
      </c>
    </row>
    <row r="356" spans="31:31" x14ac:dyDescent="0.2">
      <c r="AE356">
        <v>0.54066996239999998</v>
      </c>
    </row>
    <row r="357" spans="31:31" x14ac:dyDescent="0.2">
      <c r="AE357">
        <v>0.52318348960000005</v>
      </c>
    </row>
    <row r="358" spans="31:31" x14ac:dyDescent="0.2">
      <c r="AE358">
        <v>0.5053988438</v>
      </c>
    </row>
    <row r="359" spans="31:31" x14ac:dyDescent="0.2">
      <c r="AE359">
        <v>0.4874888349</v>
      </c>
    </row>
    <row r="360" spans="31:31" x14ac:dyDescent="0.2">
      <c r="AE360">
        <v>0.46960294660000002</v>
      </c>
    </row>
    <row r="361" spans="31:31" x14ac:dyDescent="0.2">
      <c r="AE361">
        <v>0.45184403200000001</v>
      </c>
    </row>
    <row r="362" spans="31:31" x14ac:dyDescent="0.2">
      <c r="AE362">
        <v>0.43423959490000003</v>
      </c>
    </row>
    <row r="363" spans="31:31" x14ac:dyDescent="0.2">
      <c r="AE363">
        <v>0.41670706010000003</v>
      </c>
    </row>
    <row r="364" spans="31:31" x14ac:dyDescent="0.2">
      <c r="AE364">
        <v>0.3990114508</v>
      </c>
    </row>
    <row r="365" spans="31:31" x14ac:dyDescent="0.2">
      <c r="AE365">
        <v>0.38071180659999998</v>
      </c>
    </row>
    <row r="366" spans="31:31" x14ac:dyDescent="0.2">
      <c r="AE366">
        <v>0.36108891949999999</v>
      </c>
    </row>
    <row r="367" spans="31:31" x14ac:dyDescent="0.2">
      <c r="AE367">
        <v>0.3390408613</v>
      </c>
    </row>
    <row r="368" spans="31:31" x14ac:dyDescent="0.2">
      <c r="AE368">
        <v>0.31292421640000001</v>
      </c>
    </row>
    <row r="369" spans="31:31" x14ac:dyDescent="0.2">
      <c r="AE369">
        <v>0.2803125722</v>
      </c>
    </row>
    <row r="370" spans="31:31" x14ac:dyDescent="0.2">
      <c r="AE370">
        <v>0.23766989320000001</v>
      </c>
    </row>
    <row r="371" spans="31:31" x14ac:dyDescent="0.2">
      <c r="AE371">
        <v>0.18014721519999999</v>
      </c>
    </row>
    <row r="372" spans="31:31" x14ac:dyDescent="0.2">
      <c r="AE372">
        <v>0.10277244050000001</v>
      </c>
    </row>
    <row r="373" spans="31:31" x14ac:dyDescent="0.2">
      <c r="AE373">
        <v>8.1819717000000004E-3</v>
      </c>
    </row>
    <row r="374" spans="31:31" x14ac:dyDescent="0.2">
      <c r="AE374">
        <v>-7.0718908499999997E-2</v>
      </c>
    </row>
    <row r="375" spans="31:31" x14ac:dyDescent="0.2">
      <c r="AE375">
        <v>0.61820826819999997</v>
      </c>
    </row>
    <row r="376" spans="31:31" x14ac:dyDescent="0.2">
      <c r="AE376">
        <v>0.60478832199999999</v>
      </c>
    </row>
    <row r="377" spans="31:31" x14ac:dyDescent="0.2">
      <c r="AE377">
        <v>0.59015656599999999</v>
      </c>
    </row>
    <row r="378" spans="31:31" x14ac:dyDescent="0.2">
      <c r="AE378">
        <v>0.57438371290000001</v>
      </c>
    </row>
    <row r="379" spans="31:31" x14ac:dyDescent="0.2">
      <c r="AE379">
        <v>0.55757849010000005</v>
      </c>
    </row>
    <row r="380" spans="31:31" x14ac:dyDescent="0.2">
      <c r="AE380">
        <v>0.53988645059999996</v>
      </c>
    </row>
    <row r="381" spans="31:31" x14ac:dyDescent="0.2">
      <c r="AE381">
        <v>0.52148561959999995</v>
      </c>
    </row>
    <row r="382" spans="31:31" x14ac:dyDescent="0.2">
      <c r="AE382">
        <v>0.5025776113</v>
      </c>
    </row>
    <row r="383" spans="31:31" x14ac:dyDescent="0.2">
      <c r="AE383">
        <v>0.48337314720000002</v>
      </c>
    </row>
    <row r="384" spans="31:31" x14ac:dyDescent="0.2">
      <c r="AE384">
        <v>0.46407153490000003</v>
      </c>
    </row>
    <row r="385" spans="31:31" x14ac:dyDescent="0.2">
      <c r="AE385">
        <v>0.44483444760000002</v>
      </c>
    </row>
    <row r="386" spans="31:31" x14ac:dyDescent="0.2">
      <c r="AE386">
        <v>0.42575492399999998</v>
      </c>
    </row>
    <row r="387" spans="31:31" x14ac:dyDescent="0.2">
      <c r="AE387">
        <v>0.4068225043</v>
      </c>
    </row>
    <row r="388" spans="31:31" x14ac:dyDescent="0.2">
      <c r="AE388">
        <v>0.3878844884</v>
      </c>
    </row>
    <row r="389" spans="31:31" x14ac:dyDescent="0.2">
      <c r="AE389">
        <v>0.36860124979999997</v>
      </c>
    </row>
    <row r="390" spans="31:31" x14ac:dyDescent="0.2">
      <c r="AE390">
        <v>0.34839022530000002</v>
      </c>
    </row>
    <row r="391" spans="31:31" x14ac:dyDescent="0.2">
      <c r="AE391">
        <v>0.32634856550000002</v>
      </c>
    </row>
    <row r="392" spans="31:31" x14ac:dyDescent="0.2">
      <c r="AE392">
        <v>0.30113880780000002</v>
      </c>
    </row>
    <row r="393" spans="31:31" x14ac:dyDescent="0.2">
      <c r="AE393">
        <v>0.27081853140000001</v>
      </c>
    </row>
    <row r="394" spans="31:31" x14ac:dyDescent="0.2">
      <c r="AE394">
        <v>0.23261085779999999</v>
      </c>
    </row>
    <row r="395" spans="31:31" x14ac:dyDescent="0.2">
      <c r="AE395">
        <v>0.1827253362</v>
      </c>
    </row>
    <row r="396" spans="31:31" x14ac:dyDescent="0.2">
      <c r="AE396">
        <v>0.1168621422</v>
      </c>
    </row>
    <row r="397" spans="31:31" x14ac:dyDescent="0.2">
      <c r="AE397">
        <v>3.3948840199999997E-2</v>
      </c>
    </row>
    <row r="398" spans="31:31" x14ac:dyDescent="0.2">
      <c r="AE398">
        <v>-5.0819219700000001E-2</v>
      </c>
    </row>
    <row r="399" spans="31:31" x14ac:dyDescent="0.2">
      <c r="AE399">
        <v>-9.0843132800000004E-2</v>
      </c>
    </row>
    <row r="400" spans="31:31" x14ac:dyDescent="0.2">
      <c r="AE400">
        <v>0.59035858910000005</v>
      </c>
    </row>
    <row r="401" spans="31:31" x14ac:dyDescent="0.2">
      <c r="AE401">
        <v>0.57460412979999997</v>
      </c>
    </row>
    <row r="402" spans="31:31" x14ac:dyDescent="0.2">
      <c r="AE402">
        <v>0.55759361709999999</v>
      </c>
    </row>
    <row r="403" spans="31:31" x14ac:dyDescent="0.2">
      <c r="AE403">
        <v>0.53944166149999995</v>
      </c>
    </row>
    <row r="404" spans="31:31" x14ac:dyDescent="0.2">
      <c r="AE404">
        <v>0.52030978400000005</v>
      </c>
    </row>
    <row r="405" spans="31:31" x14ac:dyDescent="0.2">
      <c r="AE405">
        <v>0.50040251940000002</v>
      </c>
    </row>
    <row r="406" spans="31:31" x14ac:dyDescent="0.2">
      <c r="AE406">
        <v>0.47995606610000002</v>
      </c>
    </row>
    <row r="407" spans="31:31" x14ac:dyDescent="0.2">
      <c r="AE407">
        <v>0.4592176483</v>
      </c>
    </row>
    <row r="408" spans="31:31" x14ac:dyDescent="0.2">
      <c r="AE408">
        <v>0.43841548120000001</v>
      </c>
    </row>
    <row r="409" spans="31:31" x14ac:dyDescent="0.2">
      <c r="AE409">
        <v>0.41772136729999998</v>
      </c>
    </row>
    <row r="410" spans="31:31" x14ac:dyDescent="0.2">
      <c r="AE410">
        <v>0.39720947379999999</v>
      </c>
    </row>
    <row r="411" spans="31:31" x14ac:dyDescent="0.2">
      <c r="AE411">
        <v>0.37681465079999998</v>
      </c>
    </row>
    <row r="412" spans="31:31" x14ac:dyDescent="0.2">
      <c r="AE412">
        <v>0.35629130269999998</v>
      </c>
    </row>
    <row r="413" spans="31:31" x14ac:dyDescent="0.2">
      <c r="AE413">
        <v>0.33516970210000002</v>
      </c>
    </row>
    <row r="414" spans="31:31" x14ac:dyDescent="0.2">
      <c r="AE414">
        <v>0.31270174029999998</v>
      </c>
    </row>
    <row r="415" spans="31:31" x14ac:dyDescent="0.2">
      <c r="AE415">
        <v>0.28778368970000001</v>
      </c>
    </row>
    <row r="416" spans="31:31" x14ac:dyDescent="0.2">
      <c r="AE416">
        <v>0.25884229219999999</v>
      </c>
    </row>
    <row r="417" spans="31:31" x14ac:dyDescent="0.2">
      <c r="AE417">
        <v>0.22368268890000001</v>
      </c>
    </row>
    <row r="418" spans="31:31" x14ac:dyDescent="0.2">
      <c r="AE418">
        <v>0.17936405550000001</v>
      </c>
    </row>
    <row r="419" spans="31:31" x14ac:dyDescent="0.2">
      <c r="AE419">
        <v>0.12244526660000001</v>
      </c>
    </row>
    <row r="420" spans="31:31" x14ac:dyDescent="0.2">
      <c r="AE420">
        <v>5.0893511299999999E-2</v>
      </c>
    </row>
    <row r="421" spans="31:31" x14ac:dyDescent="0.2">
      <c r="AE421">
        <v>-2.89329971E-2</v>
      </c>
    </row>
    <row r="422" spans="31:31" x14ac:dyDescent="0.2">
      <c r="AE422">
        <v>-8.9234972600000004E-2</v>
      </c>
    </row>
    <row r="423" spans="31:31" x14ac:dyDescent="0.2">
      <c r="AE423">
        <v>0.55761681009999997</v>
      </c>
    </row>
    <row r="424" spans="31:31" x14ac:dyDescent="0.2">
      <c r="AE424">
        <v>0.53926151200000005</v>
      </c>
    </row>
    <row r="425" spans="31:31" x14ac:dyDescent="0.2">
      <c r="AE425">
        <v>0.51965724030000005</v>
      </c>
    </row>
    <row r="426" spans="31:31" x14ac:dyDescent="0.2">
      <c r="AE426">
        <v>0.49897928850000001</v>
      </c>
    </row>
    <row r="427" spans="31:31" x14ac:dyDescent="0.2">
      <c r="AE427">
        <v>0.47745742660000001</v>
      </c>
    </row>
    <row r="428" spans="31:31" x14ac:dyDescent="0.2">
      <c r="AE428">
        <v>0.45536334839999998</v>
      </c>
    </row>
    <row r="429" spans="31:31" x14ac:dyDescent="0.2">
      <c r="AE429">
        <v>0.4329835259</v>
      </c>
    </row>
    <row r="430" spans="31:31" x14ac:dyDescent="0.2">
      <c r="AE430">
        <v>0.41057698079999999</v>
      </c>
    </row>
    <row r="431" spans="31:31" x14ac:dyDescent="0.2">
      <c r="AE431">
        <v>0.38832248209999998</v>
      </c>
    </row>
    <row r="432" spans="31:31" x14ac:dyDescent="0.2">
      <c r="AE432">
        <v>0.36626360940000002</v>
      </c>
    </row>
    <row r="433" spans="31:31" x14ac:dyDescent="0.2">
      <c r="AE433">
        <v>0.34425989109999999</v>
      </c>
    </row>
    <row r="434" spans="31:31" x14ac:dyDescent="0.2">
      <c r="AE434">
        <v>0.32194691759999999</v>
      </c>
    </row>
    <row r="435" spans="31:31" x14ac:dyDescent="0.2">
      <c r="AE435">
        <v>0.29870028510000002</v>
      </c>
    </row>
    <row r="436" spans="31:31" x14ac:dyDescent="0.2">
      <c r="AE436">
        <v>0.2735915673</v>
      </c>
    </row>
    <row r="437" spans="31:31" x14ac:dyDescent="0.2">
      <c r="AE437">
        <v>0.2453233675</v>
      </c>
    </row>
    <row r="438" spans="31:31" x14ac:dyDescent="0.2">
      <c r="AE438">
        <v>0.2121415019</v>
      </c>
    </row>
    <row r="439" spans="31:31" x14ac:dyDescent="0.2">
      <c r="AE439">
        <v>0.17176795610000001</v>
      </c>
    </row>
    <row r="440" spans="31:31" x14ac:dyDescent="0.2">
      <c r="AE440">
        <v>0.12155550850000001</v>
      </c>
    </row>
    <row r="441" spans="31:31" x14ac:dyDescent="0.2">
      <c r="AE441">
        <v>5.9550327899999998E-2</v>
      </c>
    </row>
    <row r="442" spans="31:31" x14ac:dyDescent="0.2">
      <c r="AE442">
        <v>-1.17508413E-2</v>
      </c>
    </row>
    <row r="443" spans="31:31" x14ac:dyDescent="0.2">
      <c r="AE443">
        <v>-7.7157235899999996E-2</v>
      </c>
    </row>
    <row r="444" spans="31:31" x14ac:dyDescent="0.2">
      <c r="AE444">
        <v>-0.10552345270000001</v>
      </c>
    </row>
    <row r="445" spans="31:31" x14ac:dyDescent="0.2">
      <c r="AE445">
        <v>0.51945463349999998</v>
      </c>
    </row>
    <row r="446" spans="31:31" x14ac:dyDescent="0.2">
      <c r="AE446">
        <v>0.498296238</v>
      </c>
    </row>
    <row r="447" spans="31:31" x14ac:dyDescent="0.2">
      <c r="AE447">
        <v>0.47597329300000002</v>
      </c>
    </row>
    <row r="448" spans="31:31" x14ac:dyDescent="0.2">
      <c r="AE448">
        <v>0.45273821739999998</v>
      </c>
    </row>
    <row r="449" spans="31:31" x14ac:dyDescent="0.2">
      <c r="AE449">
        <v>0.42889712839999999</v>
      </c>
    </row>
    <row r="450" spans="31:31" x14ac:dyDescent="0.2">
      <c r="AE450">
        <v>0.40477691589999998</v>
      </c>
    </row>
    <row r="451" spans="31:31" x14ac:dyDescent="0.2">
      <c r="AE451">
        <v>0.38066839990000001</v>
      </c>
    </row>
    <row r="452" spans="31:31" x14ac:dyDescent="0.2">
      <c r="AE452">
        <v>0.35675283320000001</v>
      </c>
    </row>
    <row r="453" spans="31:31" x14ac:dyDescent="0.2">
      <c r="AE453">
        <v>0.33302859289999998</v>
      </c>
    </row>
    <row r="454" spans="31:31" x14ac:dyDescent="0.2">
      <c r="AE454">
        <v>0.3092556488</v>
      </c>
    </row>
    <row r="455" spans="31:31" x14ac:dyDescent="0.2">
      <c r="AE455">
        <v>0.28492431340000002</v>
      </c>
    </row>
    <row r="456" spans="31:31" x14ac:dyDescent="0.2">
      <c r="AE456">
        <v>0.25923919379999999</v>
      </c>
    </row>
    <row r="457" spans="31:31" x14ac:dyDescent="0.2">
      <c r="AE457">
        <v>0.2311012341</v>
      </c>
    </row>
    <row r="458" spans="31:31" x14ac:dyDescent="0.2">
      <c r="AE458">
        <v>0.1990792944</v>
      </c>
    </row>
    <row r="459" spans="31:31" x14ac:dyDescent="0.2">
      <c r="AE459">
        <v>0.16139858979999999</v>
      </c>
    </row>
    <row r="460" spans="31:31" x14ac:dyDescent="0.2">
      <c r="AE460">
        <v>0.1160716224</v>
      </c>
    </row>
    <row r="461" spans="31:31" x14ac:dyDescent="0.2">
      <c r="AE461">
        <v>6.1554374500000002E-2</v>
      </c>
    </row>
    <row r="462" spans="31:31" x14ac:dyDescent="0.2">
      <c r="AE462">
        <v>-1.1501059000000001E-3</v>
      </c>
    </row>
    <row r="463" spans="31:31" x14ac:dyDescent="0.2">
      <c r="AE463">
        <v>-6.3772073200000001E-2</v>
      </c>
    </row>
    <row r="464" spans="31:31" x14ac:dyDescent="0.2">
      <c r="AE464">
        <v>-0.10625623789999999</v>
      </c>
    </row>
    <row r="465" spans="31:31" x14ac:dyDescent="0.2">
      <c r="AE465">
        <v>0.4754878159</v>
      </c>
    </row>
    <row r="466" spans="31:31" x14ac:dyDescent="0.2">
      <c r="AE466">
        <v>0.45142980290000001</v>
      </c>
    </row>
    <row r="467" spans="31:31" x14ac:dyDescent="0.2">
      <c r="AE467">
        <v>0.42639451979999998</v>
      </c>
    </row>
    <row r="468" spans="31:31" x14ac:dyDescent="0.2">
      <c r="AE468">
        <v>0.4007197938</v>
      </c>
    </row>
    <row r="469" spans="31:31" x14ac:dyDescent="0.2">
      <c r="AE469">
        <v>0.3747720484</v>
      </c>
    </row>
    <row r="470" spans="31:31" x14ac:dyDescent="0.2">
      <c r="AE470">
        <v>0.34887331150000001</v>
      </c>
    </row>
    <row r="471" spans="31:31" x14ac:dyDescent="0.2">
      <c r="AE471">
        <v>0.3232010126</v>
      </c>
    </row>
    <row r="472" spans="31:31" x14ac:dyDescent="0.2">
      <c r="AE472">
        <v>0.29769061140000003</v>
      </c>
    </row>
    <row r="473" spans="31:31" x14ac:dyDescent="0.2">
      <c r="AE473">
        <v>0.27197611150000001</v>
      </c>
    </row>
    <row r="474" spans="31:31" x14ac:dyDescent="0.2">
      <c r="AE474">
        <v>0.2453816885</v>
      </c>
    </row>
    <row r="475" spans="31:31" x14ac:dyDescent="0.2">
      <c r="AE475">
        <v>0.2169474012</v>
      </c>
    </row>
    <row r="476" spans="31:31" x14ac:dyDescent="0.2">
      <c r="AE476">
        <v>0.18546396809999999</v>
      </c>
    </row>
    <row r="477" spans="31:31" x14ac:dyDescent="0.2">
      <c r="AE477">
        <v>0.14952091300000001</v>
      </c>
    </row>
    <row r="478" spans="31:31" x14ac:dyDescent="0.2">
      <c r="AE478">
        <v>0.1076454426</v>
      </c>
    </row>
    <row r="479" spans="31:31" x14ac:dyDescent="0.2">
      <c r="AE479">
        <v>5.87550077E-2</v>
      </c>
    </row>
    <row r="480" spans="31:31" x14ac:dyDescent="0.2">
      <c r="AE480">
        <v>3.3992667E-3</v>
      </c>
    </row>
    <row r="481" spans="31:31" x14ac:dyDescent="0.2">
      <c r="AE481">
        <v>-5.3612976200000002E-2</v>
      </c>
    </row>
    <row r="482" spans="31:31" x14ac:dyDescent="0.2">
      <c r="AE482">
        <v>-0.1000706546</v>
      </c>
    </row>
    <row r="483" spans="31:31" x14ac:dyDescent="0.2">
      <c r="AE483">
        <v>-0.11860095919999999</v>
      </c>
    </row>
    <row r="484" spans="31:31" x14ac:dyDescent="0.2">
      <c r="AE484">
        <v>0.42555871670000001</v>
      </c>
    </row>
    <row r="485" spans="31:31" x14ac:dyDescent="0.2">
      <c r="AE485">
        <v>0.39865106379999998</v>
      </c>
    </row>
    <row r="486" spans="31:31" x14ac:dyDescent="0.2">
      <c r="AE486">
        <v>0.3710735664</v>
      </c>
    </row>
    <row r="487" spans="31:31" x14ac:dyDescent="0.2">
      <c r="AE487">
        <v>0.3432295595</v>
      </c>
    </row>
    <row r="488" spans="31:31" x14ac:dyDescent="0.2">
      <c r="AE488">
        <v>0.3154692503</v>
      </c>
    </row>
    <row r="489" spans="31:31" x14ac:dyDescent="0.2">
      <c r="AE489">
        <v>0.28795681400000001</v>
      </c>
    </row>
    <row r="490" spans="31:31" x14ac:dyDescent="0.2">
      <c r="AE490">
        <v>0.2605433814</v>
      </c>
    </row>
    <row r="491" spans="31:31" x14ac:dyDescent="0.2">
      <c r="AE491">
        <v>0.2327117122</v>
      </c>
    </row>
    <row r="492" spans="31:31" x14ac:dyDescent="0.2">
      <c r="AE492">
        <v>0.20361696949999999</v>
      </c>
    </row>
    <row r="493" spans="31:31" x14ac:dyDescent="0.2">
      <c r="AE493">
        <v>0.17218893809999999</v>
      </c>
    </row>
    <row r="494" spans="31:31" x14ac:dyDescent="0.2">
      <c r="AE494">
        <v>0.137256619</v>
      </c>
    </row>
    <row r="495" spans="31:31" x14ac:dyDescent="0.2">
      <c r="AE495">
        <v>9.7720867399999994E-2</v>
      </c>
    </row>
    <row r="496" spans="31:31" x14ac:dyDescent="0.2">
      <c r="AE496">
        <v>5.2905017499999998E-2</v>
      </c>
    </row>
    <row r="497" spans="31:31" x14ac:dyDescent="0.2">
      <c r="AE497">
        <v>3.3298358E-3</v>
      </c>
    </row>
    <row r="498" spans="31:31" x14ac:dyDescent="0.2">
      <c r="AE498">
        <v>-4.7835710900000002E-2</v>
      </c>
    </row>
    <row r="499" spans="31:31" x14ac:dyDescent="0.2">
      <c r="AE499">
        <v>-9.3023956800000002E-2</v>
      </c>
    </row>
    <row r="500" spans="31:31" x14ac:dyDescent="0.2">
      <c r="AE500">
        <v>-0.1205791646</v>
      </c>
    </row>
    <row r="501" spans="31:31" x14ac:dyDescent="0.2">
      <c r="AE501">
        <v>0.36981935640000002</v>
      </c>
    </row>
    <row r="502" spans="31:31" x14ac:dyDescent="0.2">
      <c r="AE502">
        <v>0.3402950703</v>
      </c>
    </row>
    <row r="503" spans="31:31" x14ac:dyDescent="0.2">
      <c r="AE503">
        <v>0.31051669009999999</v>
      </c>
    </row>
    <row r="504" spans="31:31" x14ac:dyDescent="0.2">
      <c r="AE504">
        <v>0.28085720260000002</v>
      </c>
    </row>
    <row r="505" spans="31:31" x14ac:dyDescent="0.2">
      <c r="AE505">
        <v>0.25145198190000001</v>
      </c>
    </row>
    <row r="506" spans="31:31" x14ac:dyDescent="0.2">
      <c r="AE506">
        <v>0.2220396114</v>
      </c>
    </row>
    <row r="507" spans="31:31" x14ac:dyDescent="0.2">
      <c r="AE507">
        <v>0.1919325093</v>
      </c>
    </row>
    <row r="508" spans="31:31" x14ac:dyDescent="0.2">
      <c r="AE508">
        <v>0.1601538391</v>
      </c>
    </row>
    <row r="509" spans="31:31" x14ac:dyDescent="0.2">
      <c r="AE509">
        <v>0.12566248090000001</v>
      </c>
    </row>
    <row r="510" spans="31:31" x14ac:dyDescent="0.2">
      <c r="AE510">
        <v>8.7598644000000003E-2</v>
      </c>
    </row>
    <row r="511" spans="31:31" x14ac:dyDescent="0.2">
      <c r="AE511">
        <v>4.5596650699999998E-2</v>
      </c>
    </row>
    <row r="512" spans="31:31" x14ac:dyDescent="0.2">
      <c r="AE512">
        <v>2.9533069999999997E-4</v>
      </c>
    </row>
    <row r="513" spans="31:31" x14ac:dyDescent="0.2">
      <c r="AE513">
        <v>-4.5874469700000003E-2</v>
      </c>
    </row>
    <row r="514" spans="31:31" x14ac:dyDescent="0.2">
      <c r="AE514">
        <v>-8.7881082400000005E-2</v>
      </c>
    </row>
    <row r="515" spans="31:31" x14ac:dyDescent="0.2">
      <c r="AE515">
        <v>-0.1182371027</v>
      </c>
    </row>
    <row r="516" spans="31:31" x14ac:dyDescent="0.2">
      <c r="AE516">
        <v>-0.12944391229999999</v>
      </c>
    </row>
    <row r="517" spans="31:31" x14ac:dyDescent="0.2">
      <c r="AE517">
        <v>0.30881541829999998</v>
      </c>
    </row>
    <row r="518" spans="31:31" x14ac:dyDescent="0.2">
      <c r="AE518">
        <v>0.2771144874</v>
      </c>
    </row>
    <row r="519" spans="31:31" x14ac:dyDescent="0.2">
      <c r="AE519">
        <v>0.24558589519999999</v>
      </c>
    </row>
    <row r="520" spans="31:31" x14ac:dyDescent="0.2">
      <c r="AE520">
        <v>0.2143103707</v>
      </c>
    </row>
    <row r="521" spans="31:31" x14ac:dyDescent="0.2">
      <c r="AE521">
        <v>0.182866166</v>
      </c>
    </row>
    <row r="522" spans="31:31" x14ac:dyDescent="0.2">
      <c r="AE522">
        <v>0.15038332909999999</v>
      </c>
    </row>
    <row r="523" spans="31:31" x14ac:dyDescent="0.2">
      <c r="AE523">
        <v>0.11586311840000001</v>
      </c>
    </row>
    <row r="524" spans="31:31" x14ac:dyDescent="0.2">
      <c r="AE524">
        <v>7.8562126699999998E-2</v>
      </c>
    </row>
    <row r="525" spans="31:31" x14ac:dyDescent="0.2">
      <c r="AE525">
        <v>3.8327355700000003E-2</v>
      </c>
    </row>
    <row r="526" spans="31:31" x14ac:dyDescent="0.2">
      <c r="AE526">
        <v>-4.0528509000000001E-3</v>
      </c>
    </row>
    <row r="527" spans="31:31" x14ac:dyDescent="0.2">
      <c r="AE527">
        <v>-4.64515265E-2</v>
      </c>
    </row>
    <row r="528" spans="31:31" x14ac:dyDescent="0.2">
      <c r="AE528">
        <v>-8.5162930100000006E-2</v>
      </c>
    </row>
    <row r="529" spans="31:31" x14ac:dyDescent="0.2">
      <c r="AE529">
        <v>-0.1152593539</v>
      </c>
    </row>
    <row r="530" spans="31:31" x14ac:dyDescent="0.2">
      <c r="AE530">
        <v>-0.13184979320000001</v>
      </c>
    </row>
    <row r="531" spans="31:31" x14ac:dyDescent="0.2">
      <c r="AE531">
        <v>0.2435706892</v>
      </c>
    </row>
    <row r="532" spans="31:31" x14ac:dyDescent="0.2">
      <c r="AE532">
        <v>0.2103242022</v>
      </c>
    </row>
    <row r="533" spans="31:31" x14ac:dyDescent="0.2">
      <c r="AE533">
        <v>0.17737407190000001</v>
      </c>
    </row>
    <row r="534" spans="31:31" x14ac:dyDescent="0.2">
      <c r="AE534">
        <v>0.14403412099999999</v>
      </c>
    </row>
    <row r="535" spans="31:31" x14ac:dyDescent="0.2">
      <c r="AE535">
        <v>0.109212199</v>
      </c>
    </row>
    <row r="536" spans="31:31" x14ac:dyDescent="0.2">
      <c r="AE536">
        <v>7.2105943699999994E-2</v>
      </c>
    </row>
    <row r="537" spans="31:31" x14ac:dyDescent="0.2">
      <c r="AE537">
        <v>3.27041463E-2</v>
      </c>
    </row>
    <row r="538" spans="31:31" x14ac:dyDescent="0.2">
      <c r="AE538">
        <v>-8.0164541000000006E-3</v>
      </c>
    </row>
    <row r="539" spans="31:31" x14ac:dyDescent="0.2">
      <c r="AE539">
        <v>-4.79942987E-2</v>
      </c>
    </row>
    <row r="540" spans="31:31" x14ac:dyDescent="0.2">
      <c r="AE540">
        <v>-8.41815177E-2</v>
      </c>
    </row>
    <row r="541" spans="31:31" x14ac:dyDescent="0.2">
      <c r="AE541">
        <v>-0.1130867492</v>
      </c>
    </row>
    <row r="542" spans="31:31" x14ac:dyDescent="0.2">
      <c r="AE542">
        <v>-0.131676346</v>
      </c>
    </row>
    <row r="543" spans="31:31" x14ac:dyDescent="0.2">
      <c r="AE543">
        <v>-0.13807244329999999</v>
      </c>
    </row>
    <row r="544" spans="31:31" x14ac:dyDescent="0.2">
      <c r="AE544">
        <v>0.1756585782</v>
      </c>
    </row>
    <row r="545" spans="31:31" x14ac:dyDescent="0.2">
      <c r="AE545">
        <v>0.14156632599999999</v>
      </c>
    </row>
    <row r="546" spans="31:31" x14ac:dyDescent="0.2">
      <c r="AE546">
        <v>0.1069025131</v>
      </c>
    </row>
    <row r="547" spans="31:31" x14ac:dyDescent="0.2">
      <c r="AE547">
        <v>7.0101432500000005E-2</v>
      </c>
    </row>
    <row r="548" spans="31:31" x14ac:dyDescent="0.2">
      <c r="AE548">
        <v>3.0847094200000001E-2</v>
      </c>
    </row>
    <row r="549" spans="31:31" x14ac:dyDescent="0.2">
      <c r="AE549">
        <v>-9.5111556999999992E-3</v>
      </c>
    </row>
    <row r="550" spans="31:31" x14ac:dyDescent="0.2">
      <c r="AE550">
        <v>-4.8600795099999997E-2</v>
      </c>
    </row>
    <row r="551" spans="31:31" x14ac:dyDescent="0.2">
      <c r="AE551">
        <v>-8.3561255900000006E-2</v>
      </c>
    </row>
    <row r="552" spans="31:31" x14ac:dyDescent="0.2">
      <c r="AE552">
        <v>-0.1116382492</v>
      </c>
    </row>
    <row r="553" spans="31:31" x14ac:dyDescent="0.2">
      <c r="AE553">
        <v>-0.13090823430000001</v>
      </c>
    </row>
    <row r="554" spans="31:31" x14ac:dyDescent="0.2">
      <c r="AE554">
        <v>-0.140584615</v>
      </c>
    </row>
    <row r="555" spans="31:31" x14ac:dyDescent="0.2">
      <c r="AE555">
        <v>0.1072195495</v>
      </c>
    </row>
    <row r="556" spans="31:31" x14ac:dyDescent="0.2">
      <c r="AE556">
        <v>7.2752394100000006E-2</v>
      </c>
    </row>
    <row r="557" spans="31:31" x14ac:dyDescent="0.2">
      <c r="AE557">
        <v>3.5219676800000002E-2</v>
      </c>
    </row>
    <row r="558" spans="31:31" x14ac:dyDescent="0.2">
      <c r="AE558">
        <v>-5.3824533999999999E-3</v>
      </c>
    </row>
    <row r="559" spans="31:31" x14ac:dyDescent="0.2">
      <c r="AE559">
        <v>-4.5456828800000001E-2</v>
      </c>
    </row>
    <row r="560" spans="31:31" x14ac:dyDescent="0.2">
      <c r="AE560">
        <v>-8.1147978300000007E-2</v>
      </c>
    </row>
    <row r="561" spans="31:31" x14ac:dyDescent="0.2">
      <c r="AE561">
        <v>-0.10974822269999999</v>
      </c>
    </row>
    <row r="562" spans="31:31" x14ac:dyDescent="0.2">
      <c r="AE562">
        <v>-0.12991453159999999</v>
      </c>
    </row>
    <row r="563" spans="31:31" x14ac:dyDescent="0.2">
      <c r="AE563">
        <v>-0.1415908528</v>
      </c>
    </row>
    <row r="564" spans="31:31" x14ac:dyDescent="0.2">
      <c r="AE564">
        <v>-0.14536996569999999</v>
      </c>
    </row>
    <row r="565" spans="31:31" x14ac:dyDescent="0.2">
      <c r="AE565">
        <v>4.0851810199999998E-2</v>
      </c>
    </row>
    <row r="566" spans="31:31" x14ac:dyDescent="0.2">
      <c r="AE566">
        <v>6.1192347999999997E-3</v>
      </c>
    </row>
    <row r="567" spans="31:31" x14ac:dyDescent="0.2">
      <c r="AE567">
        <v>-3.3993279299999998E-2</v>
      </c>
    </row>
    <row r="568" spans="31:31" x14ac:dyDescent="0.2">
      <c r="AE568">
        <v>-7.3010516900000003E-2</v>
      </c>
    </row>
    <row r="569" spans="31:31" x14ac:dyDescent="0.2">
      <c r="AE569">
        <v>-0.1048598513</v>
      </c>
    </row>
    <row r="570" spans="31:31" x14ac:dyDescent="0.2">
      <c r="AE570">
        <v>-0.1276329561</v>
      </c>
    </row>
    <row r="571" spans="31:31" x14ac:dyDescent="0.2">
      <c r="AE571">
        <v>-0.14171274549999999</v>
      </c>
    </row>
    <row r="572" spans="31:31" x14ac:dyDescent="0.2">
      <c r="AE572">
        <v>-0.1482890707</v>
      </c>
    </row>
    <row r="573" spans="31:31" x14ac:dyDescent="0.2">
      <c r="AE573">
        <v>-2.0695255499999999E-2</v>
      </c>
    </row>
    <row r="574" spans="31:31" x14ac:dyDescent="0.2">
      <c r="AE574">
        <v>-5.4586590800000001E-2</v>
      </c>
    </row>
    <row r="575" spans="31:31" x14ac:dyDescent="0.2">
      <c r="AE575">
        <v>-9.1646572900000001E-2</v>
      </c>
    </row>
    <row r="576" spans="31:31" x14ac:dyDescent="0.2">
      <c r="AE576">
        <v>-0.120873444</v>
      </c>
    </row>
    <row r="577" spans="31:31" x14ac:dyDescent="0.2">
      <c r="AE577">
        <v>-0.13983648509999999</v>
      </c>
    </row>
    <row r="578" spans="31:31" x14ac:dyDescent="0.2">
      <c r="AE578">
        <v>-0.15008120450000001</v>
      </c>
    </row>
    <row r="579" spans="31:31" x14ac:dyDescent="0.2">
      <c r="AE579">
        <v>-0.15327998470000001</v>
      </c>
    </row>
    <row r="580" spans="31:31" x14ac:dyDescent="0.2">
      <c r="AE580">
        <v>-7.5004392399999995E-2</v>
      </c>
    </row>
    <row r="581" spans="31:31" x14ac:dyDescent="0.2">
      <c r="AE581">
        <v>-0.10446589269999999</v>
      </c>
    </row>
    <row r="582" spans="31:31" x14ac:dyDescent="0.2">
      <c r="AE582">
        <v>-0.13207200229999999</v>
      </c>
    </row>
    <row r="583" spans="31:31" x14ac:dyDescent="0.2">
      <c r="AE583">
        <v>-0.14946378599999999</v>
      </c>
    </row>
    <row r="584" spans="31:31" x14ac:dyDescent="0.2">
      <c r="AE584">
        <v>-0.1573836086</v>
      </c>
    </row>
    <row r="585" spans="31:31" x14ac:dyDescent="0.2">
      <c r="AE585">
        <v>-0.1204403206</v>
      </c>
    </row>
    <row r="586" spans="31:31" x14ac:dyDescent="0.2">
      <c r="AE586">
        <v>-0.14256099320000001</v>
      </c>
    </row>
    <row r="587" spans="31:31" x14ac:dyDescent="0.2">
      <c r="AE587">
        <v>-0.15908935939999999</v>
      </c>
    </row>
    <row r="588" spans="31:31" x14ac:dyDescent="0.2">
      <c r="AE588">
        <v>-0.1646117238</v>
      </c>
    </row>
    <row r="589" spans="31:31" x14ac:dyDescent="0.2">
      <c r="AE589">
        <v>-0.1562029918</v>
      </c>
    </row>
    <row r="590" spans="31:31" x14ac:dyDescent="0.2">
      <c r="AE590">
        <v>-0.1699993655</v>
      </c>
    </row>
    <row r="591" spans="31:31" x14ac:dyDescent="0.2">
      <c r="AE591">
        <v>-0.1817868701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Bunker</dc:creator>
  <cp:lastModifiedBy>Nathaniel Bunker</cp:lastModifiedBy>
  <dcterms:created xsi:type="dcterms:W3CDTF">2025-05-29T18:32:14Z</dcterms:created>
  <dcterms:modified xsi:type="dcterms:W3CDTF">2026-04-29T23:18:00Z</dcterms:modified>
</cp:coreProperties>
</file>